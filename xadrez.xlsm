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 activeTab="2"/>
  </bookViews>
  <sheets>
    <sheet name="rei" sheetId="7" r:id="rId1"/>
    <sheet name="xml" sheetId="3" r:id="rId2"/>
    <sheet name="peao" sheetId="6" r:id="rId3"/>
    <sheet name="peaoData" sheetId="8" r:id="rId4"/>
    <sheet name="cavalo" sheetId="9" r:id="rId5"/>
    <sheet name="cavaloData" sheetId="10" r:id="rId6"/>
  </sheets>
  <functionGroups/>
  <definedNames>
    <definedName name="_cX" localSheetId="0">#REF!</definedName>
    <definedName name="_cX">#REF!</definedName>
    <definedName name="_cY" localSheetId="0">#REF!</definedName>
    <definedName name="_cY">#REF!</definedName>
    <definedName name="_T00" localSheetId="0">#REF!</definedName>
    <definedName name="_T00">#REF!</definedName>
    <definedName name="_T01" localSheetId="0">#REF!</definedName>
    <definedName name="_T01">#REF!</definedName>
    <definedName name="_T02" localSheetId="0">#REF!</definedName>
    <definedName name="_T02">#REF!</definedName>
    <definedName name="_T03" localSheetId="0">#REF!</definedName>
    <definedName name="_T03">#REF!</definedName>
    <definedName name="_T11" localSheetId="0">#REF!</definedName>
    <definedName name="_T11">#REF!</definedName>
    <definedName name="_T12" localSheetId="0">#REF!</definedName>
    <definedName name="_T12">#REF!</definedName>
    <definedName name="_T13" localSheetId="0">#REF!</definedName>
    <definedName name="_T13">#REF!</definedName>
    <definedName name="_T21" localSheetId="0">#REF!</definedName>
    <definedName name="_T21">#REF!</definedName>
    <definedName name="_T22" localSheetId="0">#REF!</definedName>
    <definedName name="_T22">#REF!</definedName>
    <definedName name="_T23" localSheetId="0">#REF!</definedName>
    <definedName name="_T23">#REF!</definedName>
    <definedName name="_T31" localSheetId="0">#REF!</definedName>
    <definedName name="_T31">#REF!</definedName>
    <definedName name="_T32" localSheetId="0">#REF!</definedName>
    <definedName name="_T32">#REF!</definedName>
    <definedName name="_T33" localSheetId="0">#REF!</definedName>
    <definedName name="_T33">#REF!</definedName>
    <definedName name="_vGR" localSheetId="0">#REF!</definedName>
    <definedName name="_vGR">#REF!</definedName>
    <definedName name="_vRD" localSheetId="0">#REF!</definedName>
    <definedName name="_vRD">#REF!</definedName>
    <definedName name="_XMLbeg">xml!$A$1</definedName>
    <definedName name="_XMLend">xml!$A$2</definedName>
    <definedName name="cBEZ">cavalo!$A$13:$B$39</definedName>
    <definedName name="cfBEZ">cavalo!$G$7:$J$24</definedName>
    <definedName name="cffX">peao!$J$19</definedName>
    <definedName name="cffY">peao!$K$19</definedName>
    <definedName name="dtCavalo">cavaloData!$A$1:$B$99</definedName>
    <definedName name="hghZ">peao!$K$18</definedName>
    <definedName name="kBEZ">cavalo!$E$6</definedName>
    <definedName name="tDEFS">xml!$A$22</definedName>
    <definedName name="tMETA">xml!$A$42</definedName>
    <definedName name="tSVG">xml!$A$7</definedName>
  </definedNames>
  <calcPr calcId="125725"/>
</workbook>
</file>

<file path=xl/calcChain.xml><?xml version="1.0" encoding="utf-8"?>
<calcChain xmlns="http://schemas.openxmlformats.org/spreadsheetml/2006/main">
  <c r="E119" i="9"/>
  <c r="G119"/>
  <c r="H119"/>
  <c r="H118"/>
  <c r="G118"/>
  <c r="E120" l="1"/>
  <c r="G120"/>
  <c r="H120"/>
  <c r="E121" l="1"/>
  <c r="G121"/>
  <c r="H121"/>
  <c r="E122" l="1"/>
  <c r="G122"/>
  <c r="H122"/>
  <c r="E123" l="1"/>
  <c r="G123"/>
  <c r="H123"/>
  <c r="E124" l="1"/>
  <c r="G124"/>
  <c r="H124"/>
  <c r="E125" l="1"/>
  <c r="G125"/>
  <c r="H125"/>
  <c r="E126" l="1"/>
  <c r="G126"/>
  <c r="H126"/>
  <c r="E127" l="1"/>
  <c r="G127"/>
  <c r="H127"/>
  <c r="E128" l="1"/>
  <c r="G128"/>
  <c r="H128"/>
  <c r="E108"/>
  <c r="G108"/>
  <c r="H108"/>
  <c r="H107"/>
  <c r="G107"/>
  <c r="E109" l="1"/>
  <c r="E97"/>
  <c r="G109"/>
  <c r="H109"/>
  <c r="G97"/>
  <c r="H97"/>
  <c r="H96"/>
  <c r="G96"/>
  <c r="E110" l="1"/>
  <c r="E98"/>
  <c r="E87"/>
  <c r="E88"/>
  <c r="E89" s="1"/>
  <c r="E90" s="1"/>
  <c r="E91" s="1"/>
  <c r="E92" s="1"/>
  <c r="E93" s="1"/>
  <c r="E94" s="1"/>
  <c r="E95" s="1"/>
  <c r="E86"/>
  <c r="G110"/>
  <c r="H110"/>
  <c r="G98"/>
  <c r="H98"/>
  <c r="G85"/>
  <c r="H85"/>
  <c r="G86"/>
  <c r="H86"/>
  <c r="G87"/>
  <c r="H87"/>
  <c r="G88"/>
  <c r="H88"/>
  <c r="G89"/>
  <c r="H89"/>
  <c r="G90"/>
  <c r="H90"/>
  <c r="G91"/>
  <c r="H91"/>
  <c r="G92"/>
  <c r="H92"/>
  <c r="G93"/>
  <c r="H93"/>
  <c r="G94"/>
  <c r="H94"/>
  <c r="G95"/>
  <c r="H95"/>
  <c r="G75"/>
  <c r="H75"/>
  <c r="G76"/>
  <c r="H76"/>
  <c r="G77"/>
  <c r="H77"/>
  <c r="G78"/>
  <c r="H78"/>
  <c r="G79"/>
  <c r="H79"/>
  <c r="G80"/>
  <c r="H80"/>
  <c r="G81"/>
  <c r="H81"/>
  <c r="G82"/>
  <c r="H82"/>
  <c r="G83"/>
  <c r="H83"/>
  <c r="G84"/>
  <c r="H84"/>
  <c r="E111" l="1"/>
  <c r="E99"/>
  <c r="J14"/>
  <c r="I14"/>
  <c r="H14"/>
  <c r="I16"/>
  <c r="I15"/>
  <c r="J15"/>
  <c r="G17" s="1"/>
  <c r="H17" s="1"/>
  <c r="H13"/>
  <c r="H15"/>
  <c r="E8"/>
  <c r="E9"/>
  <c r="E10"/>
  <c r="E11"/>
  <c r="E12"/>
  <c r="E13"/>
  <c r="E14"/>
  <c r="E15"/>
  <c r="E16"/>
  <c r="E17"/>
  <c r="E18"/>
  <c r="E19"/>
  <c r="E20"/>
  <c r="E21"/>
  <c r="E22"/>
  <c r="E23"/>
  <c r="E24"/>
  <c r="E7"/>
  <c r="G16"/>
  <c r="H16" s="1"/>
  <c r="G15"/>
  <c r="J11"/>
  <c r="G13" s="1"/>
  <c r="H11"/>
  <c r="G14"/>
  <c r="G54"/>
  <c r="G56"/>
  <c r="G58"/>
  <c r="G60"/>
  <c r="G62"/>
  <c r="H65"/>
  <c r="H73"/>
  <c r="H68"/>
  <c r="H64"/>
  <c r="G70"/>
  <c r="H66"/>
  <c r="G53"/>
  <c r="G57"/>
  <c r="G61"/>
  <c r="H69"/>
  <c r="G63"/>
  <c r="H63"/>
  <c r="H56"/>
  <c r="H60"/>
  <c r="H67"/>
  <c r="H72"/>
  <c r="G72"/>
  <c r="H53"/>
  <c r="H55"/>
  <c r="H57"/>
  <c r="H59"/>
  <c r="H61"/>
  <c r="G52"/>
  <c r="H71"/>
  <c r="G73"/>
  <c r="G65"/>
  <c r="G68"/>
  <c r="G69"/>
  <c r="G55"/>
  <c r="G59"/>
  <c r="H52"/>
  <c r="G71"/>
  <c r="G66"/>
  <c r="H54"/>
  <c r="H58"/>
  <c r="H62"/>
  <c r="G67"/>
  <c r="G64"/>
  <c r="H70"/>
  <c r="G111"/>
  <c r="H111"/>
  <c r="G99"/>
  <c r="H99"/>
  <c r="H74"/>
  <c r="G74"/>
  <c r="E112" l="1"/>
  <c r="E100"/>
  <c r="J17"/>
  <c r="G19" s="1"/>
  <c r="J18"/>
  <c r="G20" s="1"/>
  <c r="J20" s="1"/>
  <c r="G22" s="1"/>
  <c r="I17"/>
  <c r="I18"/>
  <c r="J16"/>
  <c r="G18" s="1"/>
  <c r="H18" s="1"/>
  <c r="I13"/>
  <c r="J13"/>
  <c r="J12"/>
  <c r="I12"/>
  <c r="H12"/>
  <c r="I11"/>
  <c r="G12"/>
  <c r="G11"/>
  <c r="H9"/>
  <c r="H46"/>
  <c r="H50"/>
  <c r="G43"/>
  <c r="G47"/>
  <c r="G51"/>
  <c r="H45"/>
  <c r="H49"/>
  <c r="G42"/>
  <c r="G46"/>
  <c r="G50"/>
  <c r="H44"/>
  <c r="H48"/>
  <c r="H42"/>
  <c r="G45"/>
  <c r="G49"/>
  <c r="G41"/>
  <c r="H43"/>
  <c r="H47"/>
  <c r="H51"/>
  <c r="G44"/>
  <c r="G48"/>
  <c r="H41"/>
  <c r="G112"/>
  <c r="H112"/>
  <c r="G100"/>
  <c r="H100"/>
  <c r="E113" l="1"/>
  <c r="E101"/>
  <c r="H22"/>
  <c r="I22"/>
  <c r="J22"/>
  <c r="G24" s="1"/>
  <c r="H19"/>
  <c r="I19"/>
  <c r="J19"/>
  <c r="G21" s="1"/>
  <c r="I20"/>
  <c r="H20"/>
  <c r="J10"/>
  <c r="I10"/>
  <c r="H10"/>
  <c r="J9"/>
  <c r="I9"/>
  <c r="G10"/>
  <c r="G9"/>
  <c r="J8"/>
  <c r="I8"/>
  <c r="H8"/>
  <c r="J7"/>
  <c r="I7"/>
  <c r="H7"/>
  <c r="G8"/>
  <c r="G7"/>
  <c r="H11" i="7"/>
  <c r="G11"/>
  <c r="I11" s="1"/>
  <c r="J10"/>
  <c r="G12" s="1"/>
  <c r="I10"/>
  <c r="H10"/>
  <c r="G10"/>
  <c r="J9"/>
  <c r="I9"/>
  <c r="H9"/>
  <c r="G9"/>
  <c r="J8"/>
  <c r="I8"/>
  <c r="H8"/>
  <c r="G8"/>
  <c r="J7"/>
  <c r="I7"/>
  <c r="H7"/>
  <c r="G7"/>
  <c r="J10" i="6"/>
  <c r="G12" s="1"/>
  <c r="I10"/>
  <c r="H10"/>
  <c r="J9"/>
  <c r="I9"/>
  <c r="H9"/>
  <c r="G11"/>
  <c r="G34" i="9"/>
  <c r="G39" i="7"/>
  <c r="H33"/>
  <c r="H33" i="9"/>
  <c r="G41" i="7"/>
  <c r="H35"/>
  <c r="G24"/>
  <c r="H31"/>
  <c r="H40"/>
  <c r="G37" i="9"/>
  <c r="H24" i="7"/>
  <c r="G34"/>
  <c r="H28"/>
  <c r="G38"/>
  <c r="H36" i="9"/>
  <c r="G29" i="7"/>
  <c r="H32"/>
  <c r="G37"/>
  <c r="G38" i="9"/>
  <c r="G22" i="7"/>
  <c r="G25"/>
  <c r="H34"/>
  <c r="G33" i="9"/>
  <c r="H29" i="7"/>
  <c r="H23"/>
  <c r="H40" i="9"/>
  <c r="G31" i="7"/>
  <c r="H35" i="9"/>
  <c r="H27" i="7"/>
  <c r="G36"/>
  <c r="G39" i="9"/>
  <c r="G26" i="7"/>
  <c r="G30" i="9"/>
  <c r="H39" i="7"/>
  <c r="G32" i="9"/>
  <c r="G40"/>
  <c r="H41" i="7"/>
  <c r="H31" i="9"/>
  <c r="H39"/>
  <c r="H20" i="7"/>
  <c r="G32"/>
  <c r="H30" i="9"/>
  <c r="G30" i="7"/>
  <c r="G35" i="9"/>
  <c r="G27" i="7"/>
  <c r="H21"/>
  <c r="H36"/>
  <c r="G20"/>
  <c r="H34" i="9"/>
  <c r="H30" i="7"/>
  <c r="G23"/>
  <c r="H37" i="9"/>
  <c r="G40" i="7"/>
  <c r="H38"/>
  <c r="G35"/>
  <c r="H26"/>
  <c r="H32" i="9"/>
  <c r="G28" i="7"/>
  <c r="G36" i="9"/>
  <c r="H25" i="7"/>
  <c r="G33"/>
  <c r="H22"/>
  <c r="G31" i="9"/>
  <c r="H37" i="7"/>
  <c r="G21"/>
  <c r="H38" i="9"/>
  <c r="G113"/>
  <c r="H113"/>
  <c r="G101"/>
  <c r="H101"/>
  <c r="E114" l="1"/>
  <c r="E102"/>
  <c r="H21"/>
  <c r="I21"/>
  <c r="J21"/>
  <c r="G23" s="1"/>
  <c r="H24"/>
  <c r="I24"/>
  <c r="J24"/>
  <c r="I12" i="7"/>
  <c r="J12"/>
  <c r="H12"/>
  <c r="J11"/>
  <c r="H12" i="6"/>
  <c r="I12"/>
  <c r="J12"/>
  <c r="J11"/>
  <c r="H11"/>
  <c r="I11"/>
  <c r="G10"/>
  <c r="G9"/>
  <c r="J8"/>
  <c r="J7"/>
  <c r="I8"/>
  <c r="I7"/>
  <c r="H8"/>
  <c r="H7"/>
  <c r="G8"/>
  <c r="G7"/>
  <c r="B21" i="3"/>
  <c r="A54"/>
  <c r="A1"/>
  <c r="A7"/>
  <c r="A2"/>
  <c r="A65"/>
  <c r="A42"/>
  <c r="A22"/>
  <c r="G52" i="6"/>
  <c r="H43"/>
  <c r="H42" i="7"/>
  <c r="G42" i="6"/>
  <c r="G47"/>
  <c r="G33"/>
  <c r="H27"/>
  <c r="H23"/>
  <c r="G23"/>
  <c r="H29"/>
  <c r="H45"/>
  <c r="G47" i="7"/>
  <c r="H31" i="6"/>
  <c r="H48"/>
  <c r="G36"/>
  <c r="H21"/>
  <c r="G29"/>
  <c r="G48" i="7"/>
  <c r="G40" i="6"/>
  <c r="G30"/>
  <c r="H39"/>
  <c r="G34"/>
  <c r="G49" i="7"/>
  <c r="G22" i="6"/>
  <c r="G27"/>
  <c r="H50"/>
  <c r="H52"/>
  <c r="H46"/>
  <c r="G43"/>
  <c r="H42"/>
  <c r="G44"/>
  <c r="G51" i="7"/>
  <c r="H47" i="6"/>
  <c r="G50" i="7"/>
  <c r="H49" i="6"/>
  <c r="H48" i="7"/>
  <c r="H24" i="6"/>
  <c r="H51" i="7"/>
  <c r="G48" i="6"/>
  <c r="G45"/>
  <c r="H44"/>
  <c r="H51"/>
  <c r="G26"/>
  <c r="G28"/>
  <c r="G52" i="7"/>
  <c r="G32" i="6"/>
  <c r="G38"/>
  <c r="H47" i="7"/>
  <c r="H30" i="6"/>
  <c r="H26"/>
  <c r="H45" i="7"/>
  <c r="H36" i="6"/>
  <c r="H43" i="7"/>
  <c r="G43"/>
  <c r="H52"/>
  <c r="G42"/>
  <c r="G20" i="6"/>
  <c r="G21"/>
  <c r="G46"/>
  <c r="H20"/>
  <c r="G51"/>
  <c r="G35"/>
  <c r="G49"/>
  <c r="H34"/>
  <c r="H35"/>
  <c r="H37"/>
  <c r="G44" i="7"/>
  <c r="H38" i="6"/>
  <c r="H33"/>
  <c r="H50" i="7"/>
  <c r="G41" i="6"/>
  <c r="H32"/>
  <c r="H25"/>
  <c r="G25"/>
  <c r="H22"/>
  <c r="G39"/>
  <c r="H28"/>
  <c r="G24"/>
  <c r="H40"/>
  <c r="G37"/>
  <c r="G31"/>
  <c r="G50"/>
  <c r="H41"/>
  <c r="H49" i="7"/>
  <c r="G45"/>
  <c r="H46"/>
  <c r="G46"/>
  <c r="H44"/>
  <c r="G114" i="9"/>
  <c r="H114"/>
  <c r="G102"/>
  <c r="H102"/>
  <c r="E115" l="1"/>
  <c r="E103"/>
  <c r="H23"/>
  <c r="I23"/>
  <c r="J23"/>
  <c r="G14" i="7"/>
  <c r="G13"/>
  <c r="G14" i="6"/>
  <c r="G13"/>
  <c r="G115" i="9"/>
  <c r="H115"/>
  <c r="G103"/>
  <c r="H103"/>
  <c r="E116" l="1"/>
  <c r="E104"/>
  <c r="I14" i="7"/>
  <c r="J14"/>
  <c r="H14"/>
  <c r="I13"/>
  <c r="H13"/>
  <c r="J13"/>
  <c r="H14" i="6"/>
  <c r="I14"/>
  <c r="J14"/>
  <c r="J13"/>
  <c r="H13"/>
  <c r="I13"/>
  <c r="G59"/>
  <c r="G54" i="7"/>
  <c r="H62" i="6"/>
  <c r="H56" i="7"/>
  <c r="H60" i="6"/>
  <c r="G61" i="7"/>
  <c r="G63" i="6"/>
  <c r="G60" i="7"/>
  <c r="H57" i="6"/>
  <c r="G63" i="7"/>
  <c r="H59"/>
  <c r="G56" i="6"/>
  <c r="H57" i="7"/>
  <c r="H58" i="6"/>
  <c r="H53"/>
  <c r="H59"/>
  <c r="G56" i="7"/>
  <c r="H54" i="6"/>
  <c r="H63" i="7"/>
  <c r="H56" i="6"/>
  <c r="G58" i="7"/>
  <c r="H54"/>
  <c r="H60"/>
  <c r="G59"/>
  <c r="G54" i="6"/>
  <c r="H62" i="7"/>
  <c r="G61" i="6"/>
  <c r="H55" i="7"/>
  <c r="H55" i="6"/>
  <c r="H63"/>
  <c r="G58"/>
  <c r="G53"/>
  <c r="H61" i="7"/>
  <c r="G57" i="6"/>
  <c r="G57" i="7"/>
  <c r="G62" i="6"/>
  <c r="G55" i="7"/>
  <c r="H53"/>
  <c r="G62"/>
  <c r="G55" i="6"/>
  <c r="G60"/>
  <c r="H58" i="7"/>
  <c r="H61" i="6"/>
  <c r="G53" i="7"/>
  <c r="G116" i="9"/>
  <c r="H116"/>
  <c r="G104"/>
  <c r="H104"/>
  <c r="E117" l="1"/>
  <c r="E105"/>
  <c r="G15" i="7"/>
  <c r="G16"/>
  <c r="G16" i="6"/>
  <c r="G15"/>
  <c r="G117" i="9"/>
  <c r="H117"/>
  <c r="G105"/>
  <c r="H105"/>
  <c r="E106" l="1"/>
  <c r="I15" i="7"/>
  <c r="H15"/>
  <c r="J15"/>
  <c r="I16"/>
  <c r="J16"/>
  <c r="H16"/>
  <c r="J16" i="6"/>
  <c r="H16"/>
  <c r="I16"/>
  <c r="H15"/>
  <c r="I15"/>
  <c r="J15"/>
  <c r="G72" i="7"/>
  <c r="H72" i="6"/>
  <c r="G71"/>
  <c r="H65"/>
  <c r="H67"/>
  <c r="G73"/>
  <c r="G70"/>
  <c r="G68" i="7"/>
  <c r="H69" i="6"/>
  <c r="H70"/>
  <c r="H68"/>
  <c r="G64" i="7"/>
  <c r="G72" i="6"/>
  <c r="H73" i="7"/>
  <c r="G67"/>
  <c r="H71"/>
  <c r="H67"/>
  <c r="G71"/>
  <c r="G69" i="6"/>
  <c r="G67"/>
  <c r="H69" i="7"/>
  <c r="G66"/>
  <c r="H66" i="6"/>
  <c r="H73"/>
  <c r="H64" i="7"/>
  <c r="H70"/>
  <c r="G65" i="6"/>
  <c r="H64"/>
  <c r="H65" i="7"/>
  <c r="G70"/>
  <c r="H66"/>
  <c r="G64" i="6"/>
  <c r="H74" i="7"/>
  <c r="H71" i="6"/>
  <c r="G73" i="7"/>
  <c r="H72"/>
  <c r="G66" i="6"/>
  <c r="G69" i="7"/>
  <c r="H68"/>
  <c r="G74" i="6"/>
  <c r="G74" i="7"/>
  <c r="G68" i="6"/>
  <c r="G65" i="7"/>
  <c r="H74" i="6"/>
  <c r="G106" i="9"/>
  <c r="H106"/>
  <c r="K68" i="6" l="1"/>
  <c r="L68" s="1"/>
  <c r="K19"/>
  <c r="K70" s="1"/>
  <c r="L70" s="1"/>
  <c r="K67"/>
  <c r="L67" s="1"/>
  <c r="J19"/>
  <c r="J67" s="1"/>
  <c r="K64"/>
  <c r="L64" s="1"/>
  <c r="J74" l="1"/>
  <c r="J64"/>
  <c r="K69"/>
  <c r="L69" s="1"/>
  <c r="K71"/>
  <c r="L71" s="1"/>
  <c r="J66"/>
  <c r="K72"/>
  <c r="L72" s="1"/>
  <c r="K66"/>
  <c r="L66" s="1"/>
  <c r="K73"/>
  <c r="L73" s="1"/>
  <c r="J72"/>
  <c r="K65"/>
  <c r="L65" s="1"/>
  <c r="J73"/>
  <c r="K39"/>
  <c r="L39" s="1"/>
  <c r="K51"/>
  <c r="L51" s="1"/>
  <c r="K20"/>
  <c r="L20" s="1"/>
  <c r="K40"/>
  <c r="L40" s="1"/>
  <c r="K28"/>
  <c r="L28" s="1"/>
  <c r="K22"/>
  <c r="L22" s="1"/>
  <c r="K33"/>
  <c r="L33" s="1"/>
  <c r="K38"/>
  <c r="L38" s="1"/>
  <c r="K49"/>
  <c r="L49" s="1"/>
  <c r="K42"/>
  <c r="L42" s="1"/>
  <c r="K26"/>
  <c r="L26" s="1"/>
  <c r="K30"/>
  <c r="L30" s="1"/>
  <c r="K34"/>
  <c r="L34" s="1"/>
  <c r="K23"/>
  <c r="L23" s="1"/>
  <c r="K46"/>
  <c r="L46" s="1"/>
  <c r="K50"/>
  <c r="L50" s="1"/>
  <c r="K43"/>
  <c r="L43" s="1"/>
  <c r="K37"/>
  <c r="L37" s="1"/>
  <c r="K44"/>
  <c r="L44" s="1"/>
  <c r="K21"/>
  <c r="L21" s="1"/>
  <c r="K24"/>
  <c r="L24" s="1"/>
  <c r="K47"/>
  <c r="L47" s="1"/>
  <c r="K36"/>
  <c r="L36" s="1"/>
  <c r="K25"/>
  <c r="L25" s="1"/>
  <c r="K32"/>
  <c r="L32" s="1"/>
  <c r="K45"/>
  <c r="L45" s="1"/>
  <c r="K31"/>
  <c r="L31" s="1"/>
  <c r="K29"/>
  <c r="L29" s="1"/>
  <c r="K27"/>
  <c r="L27" s="1"/>
  <c r="K52"/>
  <c r="L52" s="1"/>
  <c r="K35"/>
  <c r="L35" s="1"/>
  <c r="K41"/>
  <c r="L41" s="1"/>
  <c r="K48"/>
  <c r="L48" s="1"/>
  <c r="K61"/>
  <c r="L61" s="1"/>
  <c r="K56"/>
  <c r="L56" s="1"/>
  <c r="K62"/>
  <c r="L62" s="1"/>
  <c r="K60"/>
  <c r="L60" s="1"/>
  <c r="K55"/>
  <c r="L55" s="1"/>
  <c r="K53"/>
  <c r="L53" s="1"/>
  <c r="K58"/>
  <c r="L58" s="1"/>
  <c r="K63"/>
  <c r="L63" s="1"/>
  <c r="K59"/>
  <c r="L59" s="1"/>
  <c r="K54"/>
  <c r="L54" s="1"/>
  <c r="K57"/>
  <c r="L57" s="1"/>
  <c r="J70"/>
  <c r="J23"/>
  <c r="J49"/>
  <c r="J48"/>
  <c r="J46"/>
  <c r="J37"/>
  <c r="J25"/>
  <c r="J33"/>
  <c r="J47"/>
  <c r="J42"/>
  <c r="J39"/>
  <c r="J43"/>
  <c r="J27"/>
  <c r="J22"/>
  <c r="J34"/>
  <c r="J26"/>
  <c r="J45"/>
  <c r="J51"/>
  <c r="J31"/>
  <c r="J24"/>
  <c r="J52"/>
  <c r="J30"/>
  <c r="J29"/>
  <c r="J21"/>
  <c r="J20"/>
  <c r="J44"/>
  <c r="J41"/>
  <c r="J38"/>
  <c r="J32"/>
  <c r="J50"/>
  <c r="J28"/>
  <c r="J40"/>
  <c r="J35"/>
  <c r="J36"/>
  <c r="J63"/>
  <c r="J60"/>
  <c r="J54"/>
  <c r="J53"/>
  <c r="J58"/>
  <c r="J62"/>
  <c r="J57"/>
  <c r="J56"/>
  <c r="J59"/>
  <c r="J61"/>
  <c r="J55"/>
  <c r="J65"/>
  <c r="J71"/>
  <c r="J68"/>
  <c r="J69"/>
  <c r="K74"/>
  <c r="L74" s="1"/>
</calcChain>
</file>

<file path=xl/sharedStrings.xml><?xml version="1.0" encoding="utf-8"?>
<sst xmlns="http://schemas.openxmlformats.org/spreadsheetml/2006/main" count="138" uniqueCount="83">
  <si>
    <t>&lt;?xml version="1.0" encoding="UTF-8" standalone="no"?&gt;</t>
  </si>
  <si>
    <t>&lt;!-- Created with Inkscape (http://www.inkscape.org/) --&gt;</t>
  </si>
  <si>
    <t>&lt;svg</t>
  </si>
  <si>
    <t xml:space="preserve">   xmlns:dc="http://purl.org/dc/elements/1.1/"</t>
  </si>
  <si>
    <t xml:space="preserve">   xmlns:cc="http://creativecommons.org/ns#"</t>
  </si>
  <si>
    <t xml:space="preserve">   xmlns:rdf="http://www.w3.org/1999/02/22-rdf-syntax-ns#"</t>
  </si>
  <si>
    <t xml:space="preserve">   xmlns:svg="http://www.w3.org/2000/svg"</t>
  </si>
  <si>
    <t xml:space="preserve">   xmlns="http://www.w3.org/2000/svg"</t>
  </si>
  <si>
    <t xml:space="preserve">   xmlns:sodipodi="http://sodipodi.sourceforge.net/DTD/sodipodi-0.dtd"</t>
  </si>
  <si>
    <t xml:space="preserve">   xmlns:inkscape="http://www.inkscape.org/namespaces/inkscape"</t>
  </si>
  <si>
    <t xml:space="preserve">   width="210mm"</t>
  </si>
  <si>
    <t xml:space="preserve">   height="297mm"</t>
  </si>
  <si>
    <t xml:space="preserve">   viewBox="0 0 210 297"</t>
  </si>
  <si>
    <t xml:space="preserve">   version="1.1"</t>
  </si>
  <si>
    <t xml:space="preserve">   id="svg8"</t>
  </si>
  <si>
    <t xml:space="preserve">   inkscape:version="0.92.5 (2060ec1f9f, 2020-04-08)"</t>
  </si>
  <si>
    <t xml:space="preserve">  &lt;defs</t>
  </si>
  <si>
    <t xml:space="preserve">     id="defs2" /&gt;</t>
  </si>
  <si>
    <t xml:space="preserve">  &lt;sodipodi:namedview</t>
  </si>
  <si>
    <t xml:space="preserve">     id="base"</t>
  </si>
  <si>
    <t xml:space="preserve">     pagecolor="#ffffff"</t>
  </si>
  <si>
    <t xml:space="preserve">     bordercolor="#666666"</t>
  </si>
  <si>
    <t xml:space="preserve">     borderopacity="1.0"</t>
  </si>
  <si>
    <t xml:space="preserve">     inkscape:pageopacity="0.0"</t>
  </si>
  <si>
    <t xml:space="preserve">     inkscape:pageshadow="2"</t>
  </si>
  <si>
    <t xml:space="preserve">     inkscape:zoom="4.7"</t>
  </si>
  <si>
    <t xml:space="preserve">     inkscape:cx="3.4e+02"</t>
  </si>
  <si>
    <t xml:space="preserve">     inkscape:cy="1.1e+03"</t>
  </si>
  <si>
    <t xml:space="preserve">     inkscape:document-units="mm"</t>
  </si>
  <si>
    <t xml:space="preserve">     inkscape:current-layer="layer1"</t>
  </si>
  <si>
    <t xml:space="preserve">     showgrid="false"</t>
  </si>
  <si>
    <t xml:space="preserve">     inkscape:window-width="1366"</t>
  </si>
  <si>
    <t xml:space="preserve">     inkscape:window-height="705"</t>
  </si>
  <si>
    <t xml:space="preserve">     inkscape:window-x="-8"</t>
  </si>
  <si>
    <t xml:space="preserve">     inkscape:window-y="-8"</t>
  </si>
  <si>
    <t xml:space="preserve">     inkscape:window-maximized="1" /&gt;</t>
  </si>
  <si>
    <t xml:space="preserve">  &lt;metadata</t>
  </si>
  <si>
    <t xml:space="preserve">     id="metadata5"&gt;</t>
  </si>
  <si>
    <t xml:space="preserve">    &lt;rdf:RDF&gt;</t>
  </si>
  <si>
    <t xml:space="preserve">      &lt;cc:Work</t>
  </si>
  <si>
    <t xml:space="preserve">         rdf:about=""&gt;</t>
  </si>
  <si>
    <t xml:space="preserve">        &lt;dc:format&gt;image/svg+xml&lt;/dc:format&gt;</t>
  </si>
  <si>
    <t xml:space="preserve">        &lt;dc:type</t>
  </si>
  <si>
    <t xml:space="preserve">           rdf:resource="http://purl.org/dc/dcmitype/StillImage" /&gt;</t>
  </si>
  <si>
    <t xml:space="preserve">        &lt;dc:title /&gt;</t>
  </si>
  <si>
    <t xml:space="preserve">      &lt;/cc:Work&gt;</t>
  </si>
  <si>
    <t xml:space="preserve">    &lt;/rdf:RDF&gt;</t>
  </si>
  <si>
    <t xml:space="preserve">  &lt;/metadata&gt;</t>
  </si>
  <si>
    <t xml:space="preserve">  &lt;g</t>
  </si>
  <si>
    <t xml:space="preserve">     inkscape:label="Layer 1"</t>
  </si>
  <si>
    <t xml:space="preserve">     inkscape:groupmode="layer"</t>
  </si>
  <si>
    <t xml:space="preserve">  &lt;/g&gt;</t>
  </si>
  <si>
    <t>&lt;/svg&gt;</t>
  </si>
  <si>
    <t>espelho11</t>
  </si>
  <si>
    <t xml:space="preserve">     id="layer1"&gt;</t>
  </si>
  <si>
    <t>x</t>
  </si>
  <si>
    <t>y</t>
  </si>
  <si>
    <t>M</t>
  </si>
  <si>
    <t>C</t>
  </si>
  <si>
    <t>c</t>
  </si>
  <si>
    <t>M 2.1,64 C 5.3,42 54,-41 190,97 210,39 350,-5.7 380,150 c 60,60 110,120 180,150 50,-80 150,-40 170,30 170,-180 370,-10 370,80</t>
  </si>
  <si>
    <t>2.1,64</t>
  </si>
  <si>
    <t>5.3,42</t>
  </si>
  <si>
    <t>54,-41</t>
  </si>
  <si>
    <t>190,97</t>
  </si>
  <si>
    <t>210,39</t>
  </si>
  <si>
    <t>350,-5.7</t>
  </si>
  <si>
    <t>60,60</t>
  </si>
  <si>
    <t>50,-80</t>
  </si>
  <si>
    <t>150,-40</t>
  </si>
  <si>
    <t>170,30</t>
  </si>
  <si>
    <t>170,-180</t>
  </si>
  <si>
    <t>370,-10</t>
  </si>
  <si>
    <t>370,80</t>
  </si>
  <si>
    <t>P0</t>
  </si>
  <si>
    <t>P1</t>
  </si>
  <si>
    <t>P2</t>
  </si>
  <si>
    <t>P3</t>
  </si>
  <si>
    <t>rei</t>
  </si>
  <si>
    <t>M -0.73,47 -0.36,22 C 6.8,21 -1.9,11 26,23 c 18,-4 21,-22.95 74,7 10,-5 20,-7 30,10 50,31 110,40 130,40 V 63 c 10,-27 40,-13 40,1 l 0,12 c 40,-3 70,-8 90,-39 10,-10 20,-16 40,1 0,5 10,12 0,23 l 0,26 70,33</t>
  </si>
  <si>
    <t>peao</t>
  </si>
  <si>
    <t>d="m 170,540 c 30,0 70,50 90,20 70,-100 150,-110 180,-90 20,10 -30,10 -50,30 -20,20 10,60 -20,110 10,20 30,30 50,30 30,-30 60,-70 120,-100 50,10 90,10 30,-40 10,-140 -60,-170 -150,-170 -90,0 -150,80 -250,50"</t>
  </si>
  <si>
    <t>m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</si>
</sst>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3" fontId="0" fillId="2" borderId="0" xfId="0" applyNumberFormat="1" applyFill="1" applyAlignment="1">
      <alignment horizontal="right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310133</xdr:colOff>
      <xdr:row>17</xdr:row>
      <xdr:rowOff>78364</xdr:rowOff>
    </xdr:from>
    <xdr:to>
      <xdr:col>12</xdr:col>
      <xdr:colOff>316145</xdr:colOff>
      <xdr:row>17</xdr:row>
      <xdr:rowOff>99059</xdr:rowOff>
    </xdr:to>
    <xdr:cxnSp macro="">
      <xdr:nvCxnSpPr>
        <xdr:cNvPr id="3" name="Прямая соединительная линия 2"/>
        <xdr:cNvCxnSpPr/>
      </xdr:nvCxnSpPr>
      <xdr:spPr>
        <a:xfrm flipV="1">
          <a:off x="7625333" y="3316864"/>
          <a:ext cx="6012" cy="20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316145</xdr:colOff>
      <xdr:row>17</xdr:row>
      <xdr:rowOff>52669</xdr:rowOff>
    </xdr:from>
    <xdr:to>
      <xdr:col>12</xdr:col>
      <xdr:colOff>329728</xdr:colOff>
      <xdr:row>17</xdr:row>
      <xdr:rowOff>78364</xdr:rowOff>
    </xdr:to>
    <xdr:cxnSp macro="">
      <xdr:nvCxnSpPr>
        <xdr:cNvPr id="4" name="Прямая соединительная линия 3"/>
        <xdr:cNvCxnSpPr/>
      </xdr:nvCxnSpPr>
      <xdr:spPr>
        <a:xfrm flipV="1">
          <a:off x="7631345" y="3291169"/>
          <a:ext cx="13583" cy="25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329728</xdr:colOff>
      <xdr:row>17</xdr:row>
      <xdr:rowOff>26273</xdr:rowOff>
    </xdr:from>
    <xdr:to>
      <xdr:col>12</xdr:col>
      <xdr:colOff>351519</xdr:colOff>
      <xdr:row>17</xdr:row>
      <xdr:rowOff>52669</xdr:rowOff>
    </xdr:to>
    <xdr:cxnSp macro="">
      <xdr:nvCxnSpPr>
        <xdr:cNvPr id="5" name="Прямая соединительная линия 4"/>
        <xdr:cNvCxnSpPr/>
      </xdr:nvCxnSpPr>
      <xdr:spPr>
        <a:xfrm flipV="1">
          <a:off x="7644928" y="3264773"/>
          <a:ext cx="21791" cy="2639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351519</xdr:colOff>
      <xdr:row>17</xdr:row>
      <xdr:rowOff>3474</xdr:rowOff>
    </xdr:from>
    <xdr:to>
      <xdr:col>12</xdr:col>
      <xdr:colOff>382156</xdr:colOff>
      <xdr:row>17</xdr:row>
      <xdr:rowOff>26273</xdr:rowOff>
    </xdr:to>
    <xdr:cxnSp macro="">
      <xdr:nvCxnSpPr>
        <xdr:cNvPr id="6" name="Прямая соединительная линия 5"/>
        <xdr:cNvCxnSpPr/>
      </xdr:nvCxnSpPr>
      <xdr:spPr>
        <a:xfrm flipV="1">
          <a:off x="7666719" y="3241974"/>
          <a:ext cx="30637" cy="227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382156</xdr:colOff>
      <xdr:row>16</xdr:row>
      <xdr:rowOff>179070</xdr:rowOff>
    </xdr:from>
    <xdr:to>
      <xdr:col>12</xdr:col>
      <xdr:colOff>422275</xdr:colOff>
      <xdr:row>17</xdr:row>
      <xdr:rowOff>3474</xdr:rowOff>
    </xdr:to>
    <xdr:cxnSp macro="">
      <xdr:nvCxnSpPr>
        <xdr:cNvPr id="7" name="Прямая соединительная линия 6"/>
        <xdr:cNvCxnSpPr/>
      </xdr:nvCxnSpPr>
      <xdr:spPr>
        <a:xfrm flipV="1">
          <a:off x="7697356" y="3227070"/>
          <a:ext cx="40119" cy="1490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472513</xdr:colOff>
      <xdr:row>16</xdr:row>
      <xdr:rowOff>176357</xdr:rowOff>
    </xdr:from>
    <xdr:to>
      <xdr:col>12</xdr:col>
      <xdr:colOff>533507</xdr:colOff>
      <xdr:row>16</xdr:row>
      <xdr:rowOff>190134</xdr:rowOff>
    </xdr:to>
    <xdr:cxnSp macro="">
      <xdr:nvCxnSpPr>
        <xdr:cNvPr id="9" name="Прямая соединительная линия 8"/>
        <xdr:cNvCxnSpPr/>
      </xdr:nvCxnSpPr>
      <xdr:spPr>
        <a:xfrm>
          <a:off x="7787713" y="3224357"/>
          <a:ext cx="60994" cy="1377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533507</xdr:colOff>
      <xdr:row>16</xdr:row>
      <xdr:rowOff>190134</xdr:rowOff>
    </xdr:from>
    <xdr:to>
      <xdr:col>12</xdr:col>
      <xdr:colOff>605895</xdr:colOff>
      <xdr:row>17</xdr:row>
      <xdr:rowOff>34198</xdr:rowOff>
    </xdr:to>
    <xdr:cxnSp macro="">
      <xdr:nvCxnSpPr>
        <xdr:cNvPr id="10" name="Прямая соединительная линия 9"/>
        <xdr:cNvCxnSpPr/>
      </xdr:nvCxnSpPr>
      <xdr:spPr>
        <a:xfrm>
          <a:off x="7848707" y="3238134"/>
          <a:ext cx="72388" cy="3456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17</xdr:row>
      <xdr:rowOff>140172</xdr:rowOff>
    </xdr:from>
    <xdr:to>
      <xdr:col>13</xdr:col>
      <xdr:colOff>201600</xdr:colOff>
      <xdr:row>17</xdr:row>
      <xdr:rowOff>182879</xdr:rowOff>
    </xdr:to>
    <xdr:cxnSp macro="">
      <xdr:nvCxnSpPr>
        <xdr:cNvPr id="13" name="Прямая соединительная линия 12"/>
        <xdr:cNvCxnSpPr/>
      </xdr:nvCxnSpPr>
      <xdr:spPr>
        <a:xfrm flipV="1">
          <a:off x="8102600" y="3378672"/>
          <a:ext cx="23800" cy="42707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201600</xdr:colOff>
      <xdr:row>17</xdr:row>
      <xdr:rowOff>102343</xdr:rowOff>
    </xdr:from>
    <xdr:to>
      <xdr:col>13</xdr:col>
      <xdr:colOff>240182</xdr:colOff>
      <xdr:row>17</xdr:row>
      <xdr:rowOff>140172</xdr:rowOff>
    </xdr:to>
    <xdr:cxnSp macro="">
      <xdr:nvCxnSpPr>
        <xdr:cNvPr id="14" name="Прямая соединительная линия 13"/>
        <xdr:cNvCxnSpPr/>
      </xdr:nvCxnSpPr>
      <xdr:spPr>
        <a:xfrm flipV="1">
          <a:off x="8126400" y="3340843"/>
          <a:ext cx="38582" cy="3782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290042</xdr:colOff>
      <xdr:row>17</xdr:row>
      <xdr:rowOff>52726</xdr:rowOff>
    </xdr:from>
    <xdr:to>
      <xdr:col>13</xdr:col>
      <xdr:colOff>347674</xdr:colOff>
      <xdr:row>17</xdr:row>
      <xdr:rowOff>72244</xdr:rowOff>
    </xdr:to>
    <xdr:cxnSp macro="">
      <xdr:nvCxnSpPr>
        <xdr:cNvPr id="16" name="Прямая соединительная линия 15"/>
        <xdr:cNvCxnSpPr/>
      </xdr:nvCxnSpPr>
      <xdr:spPr>
        <a:xfrm flipV="1">
          <a:off x="8214842" y="3291226"/>
          <a:ext cx="57632" cy="1951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409575</xdr:colOff>
      <xdr:row>17</xdr:row>
      <xdr:rowOff>46640</xdr:rowOff>
    </xdr:from>
    <xdr:to>
      <xdr:col>13</xdr:col>
      <xdr:colOff>472237</xdr:colOff>
      <xdr:row>17</xdr:row>
      <xdr:rowOff>56839</xdr:rowOff>
    </xdr:to>
    <xdr:cxnSp macro="">
      <xdr:nvCxnSpPr>
        <xdr:cNvPr id="18" name="Прямая соединительная линия 17"/>
        <xdr:cNvCxnSpPr/>
      </xdr:nvCxnSpPr>
      <xdr:spPr>
        <a:xfrm>
          <a:off x="8334375" y="3285140"/>
          <a:ext cx="62662" cy="1019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472237</xdr:colOff>
      <xdr:row>17</xdr:row>
      <xdr:rowOff>56839</xdr:rowOff>
    </xdr:from>
    <xdr:to>
      <xdr:col>13</xdr:col>
      <xdr:colOff>532155</xdr:colOff>
      <xdr:row>17</xdr:row>
      <xdr:rowOff>86172</xdr:rowOff>
    </xdr:to>
    <xdr:cxnSp macro="">
      <xdr:nvCxnSpPr>
        <xdr:cNvPr id="19" name="Прямая соединительная линия 18"/>
        <xdr:cNvCxnSpPr/>
      </xdr:nvCxnSpPr>
      <xdr:spPr>
        <a:xfrm>
          <a:off x="8397037" y="3295339"/>
          <a:ext cx="59918" cy="29333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585825</xdr:colOff>
      <xdr:row>17</xdr:row>
      <xdr:rowOff>137493</xdr:rowOff>
    </xdr:from>
    <xdr:to>
      <xdr:col>14</xdr:col>
      <xdr:colOff>20142</xdr:colOff>
      <xdr:row>18</xdr:row>
      <xdr:rowOff>23151</xdr:rowOff>
    </xdr:to>
    <xdr:cxnSp macro="">
      <xdr:nvCxnSpPr>
        <xdr:cNvPr id="21" name="Прямая соединительная линия 20"/>
        <xdr:cNvCxnSpPr/>
      </xdr:nvCxnSpPr>
      <xdr:spPr>
        <a:xfrm>
          <a:off x="8510625" y="3375993"/>
          <a:ext cx="43917" cy="7615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95834</xdr:colOff>
      <xdr:row>18</xdr:row>
      <xdr:rowOff>172643</xdr:rowOff>
    </xdr:from>
    <xdr:to>
      <xdr:col>14</xdr:col>
      <xdr:colOff>139801</xdr:colOff>
      <xdr:row>19</xdr:row>
      <xdr:rowOff>27330</xdr:rowOff>
    </xdr:to>
    <xdr:cxnSp macro="">
      <xdr:nvCxnSpPr>
        <xdr:cNvPr id="24" name="Прямая соединительная линия 23"/>
        <xdr:cNvCxnSpPr/>
      </xdr:nvCxnSpPr>
      <xdr:spPr>
        <a:xfrm>
          <a:off x="8630234" y="3601643"/>
          <a:ext cx="43967" cy="4518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139801</xdr:colOff>
      <xdr:row>19</xdr:row>
      <xdr:rowOff>27330</xdr:rowOff>
    </xdr:from>
    <xdr:to>
      <xdr:col>14</xdr:col>
      <xdr:colOff>183159</xdr:colOff>
      <xdr:row>19</xdr:row>
      <xdr:rowOff>71602</xdr:rowOff>
    </xdr:to>
    <xdr:cxnSp macro="">
      <xdr:nvCxnSpPr>
        <xdr:cNvPr id="25" name="Прямая соединительная линия 24"/>
        <xdr:cNvCxnSpPr/>
      </xdr:nvCxnSpPr>
      <xdr:spPr>
        <a:xfrm>
          <a:off x="8674201" y="3646830"/>
          <a:ext cx="43358" cy="442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226364</xdr:colOff>
      <xdr:row>19</xdr:row>
      <xdr:rowOff>114503</xdr:rowOff>
    </xdr:from>
    <xdr:to>
      <xdr:col>14</xdr:col>
      <xdr:colOff>269875</xdr:colOff>
      <xdr:row>19</xdr:row>
      <xdr:rowOff>155575</xdr:rowOff>
    </xdr:to>
    <xdr:cxnSp macro="">
      <xdr:nvCxnSpPr>
        <xdr:cNvPr id="27" name="Прямая соединительная линия 26"/>
        <xdr:cNvCxnSpPr/>
      </xdr:nvCxnSpPr>
      <xdr:spPr>
        <a:xfrm>
          <a:off x="8760764" y="3734003"/>
          <a:ext cx="43511" cy="410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269875</xdr:colOff>
      <xdr:row>19</xdr:row>
      <xdr:rowOff>155575</xdr:rowOff>
    </xdr:from>
    <xdr:to>
      <xdr:col>14</xdr:col>
      <xdr:colOff>314147</xdr:colOff>
      <xdr:row>20</xdr:row>
      <xdr:rowOff>3860</xdr:rowOff>
    </xdr:to>
    <xdr:cxnSp macro="">
      <xdr:nvCxnSpPr>
        <xdr:cNvPr id="28" name="Прямая соединительная линия 27"/>
        <xdr:cNvCxnSpPr/>
      </xdr:nvCxnSpPr>
      <xdr:spPr>
        <a:xfrm>
          <a:off x="8804275" y="3775075"/>
          <a:ext cx="44272" cy="387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314147</xdr:colOff>
      <xdr:row>20</xdr:row>
      <xdr:rowOff>3860</xdr:rowOff>
    </xdr:from>
    <xdr:to>
      <xdr:col>14</xdr:col>
      <xdr:colOff>359638</xdr:colOff>
      <xdr:row>20</xdr:row>
      <xdr:rowOff>39903</xdr:rowOff>
    </xdr:to>
    <xdr:cxnSp macro="">
      <xdr:nvCxnSpPr>
        <xdr:cNvPr id="29" name="Прямая соединительная линия 28"/>
        <xdr:cNvCxnSpPr/>
      </xdr:nvCxnSpPr>
      <xdr:spPr>
        <a:xfrm>
          <a:off x="8848547" y="3813860"/>
          <a:ext cx="45491" cy="3604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359638</xdr:colOff>
      <xdr:row>20</xdr:row>
      <xdr:rowOff>39903</xdr:rowOff>
    </xdr:from>
    <xdr:to>
      <xdr:col>14</xdr:col>
      <xdr:colOff>406806</xdr:colOff>
      <xdr:row>20</xdr:row>
      <xdr:rowOff>72745</xdr:rowOff>
    </xdr:to>
    <xdr:cxnSp macro="">
      <xdr:nvCxnSpPr>
        <xdr:cNvPr id="30" name="Прямая соединительная линия 29"/>
        <xdr:cNvCxnSpPr/>
      </xdr:nvCxnSpPr>
      <xdr:spPr>
        <a:xfrm>
          <a:off x="8894038" y="3849903"/>
          <a:ext cx="47168" cy="3284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406806</xdr:colOff>
      <xdr:row>20</xdr:row>
      <xdr:rowOff>72745</xdr:rowOff>
    </xdr:from>
    <xdr:to>
      <xdr:col>14</xdr:col>
      <xdr:colOff>456107</xdr:colOff>
      <xdr:row>20</xdr:row>
      <xdr:rowOff>101930</xdr:rowOff>
    </xdr:to>
    <xdr:cxnSp macro="">
      <xdr:nvCxnSpPr>
        <xdr:cNvPr id="31" name="Прямая соединительная линия 30"/>
        <xdr:cNvCxnSpPr/>
      </xdr:nvCxnSpPr>
      <xdr:spPr>
        <a:xfrm>
          <a:off x="8941206" y="3882745"/>
          <a:ext cx="49301" cy="291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456107</xdr:colOff>
      <xdr:row>20</xdr:row>
      <xdr:rowOff>101930</xdr:rowOff>
    </xdr:from>
    <xdr:to>
      <xdr:col>14</xdr:col>
      <xdr:colOff>508000</xdr:colOff>
      <xdr:row>20</xdr:row>
      <xdr:rowOff>127000</xdr:rowOff>
    </xdr:to>
    <xdr:cxnSp macro="">
      <xdr:nvCxnSpPr>
        <xdr:cNvPr id="32" name="Прямая соединительная линия 31"/>
        <xdr:cNvCxnSpPr/>
      </xdr:nvCxnSpPr>
      <xdr:spPr>
        <a:xfrm>
          <a:off x="8990507" y="3911930"/>
          <a:ext cx="51893" cy="2507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20</xdr:row>
      <xdr:rowOff>74955</xdr:rowOff>
    </xdr:from>
    <xdr:to>
      <xdr:col>14</xdr:col>
      <xdr:colOff>549579</xdr:colOff>
      <xdr:row>20</xdr:row>
      <xdr:rowOff>127000</xdr:rowOff>
    </xdr:to>
    <xdr:cxnSp macro="">
      <xdr:nvCxnSpPr>
        <xdr:cNvPr id="33" name="Прямая соединительная линия 32"/>
        <xdr:cNvCxnSpPr/>
      </xdr:nvCxnSpPr>
      <xdr:spPr>
        <a:xfrm flipV="1">
          <a:off x="9042400" y="3884955"/>
          <a:ext cx="41579" cy="5204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596798</xdr:colOff>
      <xdr:row>20</xdr:row>
      <xdr:rowOff>20243</xdr:rowOff>
    </xdr:from>
    <xdr:to>
      <xdr:col>15</xdr:col>
      <xdr:colOff>38074</xdr:colOff>
      <xdr:row>20</xdr:row>
      <xdr:rowOff>39827</xdr:rowOff>
    </xdr:to>
    <xdr:cxnSp macro="">
      <xdr:nvCxnSpPr>
        <xdr:cNvPr id="35" name="Прямая соединительная линия 34"/>
        <xdr:cNvCxnSpPr/>
      </xdr:nvCxnSpPr>
      <xdr:spPr>
        <a:xfrm flipV="1">
          <a:off x="9131198" y="3830243"/>
          <a:ext cx="50876" cy="19584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38074</xdr:colOff>
      <xdr:row>20</xdr:row>
      <xdr:rowOff>14833</xdr:rowOff>
    </xdr:from>
    <xdr:to>
      <xdr:col>15</xdr:col>
      <xdr:colOff>90627</xdr:colOff>
      <xdr:row>20</xdr:row>
      <xdr:rowOff>20243</xdr:rowOff>
    </xdr:to>
    <xdr:cxnSp macro="">
      <xdr:nvCxnSpPr>
        <xdr:cNvPr id="36" name="Прямая соединительная линия 35"/>
        <xdr:cNvCxnSpPr/>
      </xdr:nvCxnSpPr>
      <xdr:spPr>
        <a:xfrm flipV="1">
          <a:off x="9182074" y="3824833"/>
          <a:ext cx="52553" cy="541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90627</xdr:colOff>
      <xdr:row>20</xdr:row>
      <xdr:rowOff>14833</xdr:rowOff>
    </xdr:from>
    <xdr:to>
      <xdr:col>15</xdr:col>
      <xdr:colOff>142875</xdr:colOff>
      <xdr:row>20</xdr:row>
      <xdr:rowOff>22225</xdr:rowOff>
    </xdr:to>
    <xdr:cxnSp macro="">
      <xdr:nvCxnSpPr>
        <xdr:cNvPr id="37" name="Прямая соединительная линия 36"/>
        <xdr:cNvCxnSpPr/>
      </xdr:nvCxnSpPr>
      <xdr:spPr>
        <a:xfrm>
          <a:off x="9234627" y="3824833"/>
          <a:ext cx="52248" cy="7392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192837</xdr:colOff>
      <xdr:row>20</xdr:row>
      <xdr:rowOff>41046</xdr:rowOff>
    </xdr:from>
    <xdr:to>
      <xdr:col>15</xdr:col>
      <xdr:colOff>238531</xdr:colOff>
      <xdr:row>20</xdr:row>
      <xdr:rowOff>69926</xdr:rowOff>
    </xdr:to>
    <xdr:cxnSp macro="">
      <xdr:nvCxnSpPr>
        <xdr:cNvPr id="39" name="Прямая соединительная линия 38"/>
        <xdr:cNvCxnSpPr/>
      </xdr:nvCxnSpPr>
      <xdr:spPr>
        <a:xfrm>
          <a:off x="9336837" y="3851046"/>
          <a:ext cx="45694" cy="2888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238531</xdr:colOff>
      <xdr:row>20</xdr:row>
      <xdr:rowOff>69926</xdr:rowOff>
    </xdr:from>
    <xdr:to>
      <xdr:col>15</xdr:col>
      <xdr:colOff>277977</xdr:colOff>
      <xdr:row>20</xdr:row>
      <xdr:rowOff>107492</xdr:rowOff>
    </xdr:to>
    <xdr:cxnSp macro="">
      <xdr:nvCxnSpPr>
        <xdr:cNvPr id="40" name="Прямая соединительная линия 39"/>
        <xdr:cNvCxnSpPr/>
      </xdr:nvCxnSpPr>
      <xdr:spPr>
        <a:xfrm>
          <a:off x="9382531" y="3879926"/>
          <a:ext cx="39446" cy="3756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309194</xdr:colOff>
      <xdr:row>20</xdr:row>
      <xdr:rowOff>152374</xdr:rowOff>
    </xdr:from>
    <xdr:to>
      <xdr:col>15</xdr:col>
      <xdr:colOff>330200</xdr:colOff>
      <xdr:row>21</xdr:row>
      <xdr:rowOff>12700</xdr:rowOff>
    </xdr:to>
    <xdr:cxnSp macro="">
      <xdr:nvCxnSpPr>
        <xdr:cNvPr id="42" name="Прямая соединительная линия 41"/>
        <xdr:cNvCxnSpPr/>
      </xdr:nvCxnSpPr>
      <xdr:spPr>
        <a:xfrm>
          <a:off x="9453194" y="3962374"/>
          <a:ext cx="21006" cy="5082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330200</xdr:colOff>
      <xdr:row>20</xdr:row>
      <xdr:rowOff>91617</xdr:rowOff>
    </xdr:from>
    <xdr:to>
      <xdr:col>15</xdr:col>
      <xdr:colOff>461441</xdr:colOff>
      <xdr:row>21</xdr:row>
      <xdr:rowOff>12700</xdr:rowOff>
    </xdr:to>
    <xdr:cxnSp macro="">
      <xdr:nvCxnSpPr>
        <xdr:cNvPr id="43" name="Прямая соединительная линия 42"/>
        <xdr:cNvCxnSpPr/>
      </xdr:nvCxnSpPr>
      <xdr:spPr>
        <a:xfrm flipV="1">
          <a:off x="9474200" y="3901617"/>
          <a:ext cx="131241" cy="11158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114020</xdr:colOff>
      <xdr:row>20</xdr:row>
      <xdr:rowOff>2260</xdr:rowOff>
    </xdr:from>
    <xdr:to>
      <xdr:col>16</xdr:col>
      <xdr:colOff>237947</xdr:colOff>
      <xdr:row>20</xdr:row>
      <xdr:rowOff>11379</xdr:rowOff>
    </xdr:to>
    <xdr:cxnSp macro="">
      <xdr:nvCxnSpPr>
        <xdr:cNvPr id="46" name="Прямая соединительная линия 45"/>
        <xdr:cNvCxnSpPr/>
      </xdr:nvCxnSpPr>
      <xdr:spPr>
        <a:xfrm>
          <a:off x="9867620" y="3812260"/>
          <a:ext cx="123927" cy="91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237947</xdr:colOff>
      <xdr:row>20</xdr:row>
      <xdr:rowOff>11379</xdr:rowOff>
    </xdr:from>
    <xdr:to>
      <xdr:col>16</xdr:col>
      <xdr:colOff>352425</xdr:colOff>
      <xdr:row>20</xdr:row>
      <xdr:rowOff>47625</xdr:rowOff>
    </xdr:to>
    <xdr:cxnSp macro="">
      <xdr:nvCxnSpPr>
        <xdr:cNvPr id="47" name="Прямая соединительная линия 46"/>
        <xdr:cNvCxnSpPr/>
      </xdr:nvCxnSpPr>
      <xdr:spPr>
        <a:xfrm>
          <a:off x="9991547" y="3821379"/>
          <a:ext cx="114478" cy="3624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352425</xdr:colOff>
      <xdr:row>20</xdr:row>
      <xdr:rowOff>47625</xdr:rowOff>
    </xdr:from>
    <xdr:to>
      <xdr:col>16</xdr:col>
      <xdr:colOff>453949</xdr:colOff>
      <xdr:row>20</xdr:row>
      <xdr:rowOff>104444</xdr:rowOff>
    </xdr:to>
    <xdr:cxnSp macro="">
      <xdr:nvCxnSpPr>
        <xdr:cNvPr id="48" name="Прямая соединительная линия 47"/>
        <xdr:cNvCxnSpPr/>
      </xdr:nvCxnSpPr>
      <xdr:spPr>
        <a:xfrm>
          <a:off x="10106025" y="3857625"/>
          <a:ext cx="101524" cy="568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453949</xdr:colOff>
      <xdr:row>20</xdr:row>
      <xdr:rowOff>104444</xdr:rowOff>
    </xdr:from>
    <xdr:to>
      <xdr:col>16</xdr:col>
      <xdr:colOff>539013</xdr:colOff>
      <xdr:row>20</xdr:row>
      <xdr:rowOff>175285</xdr:rowOff>
    </xdr:to>
    <xdr:cxnSp macro="">
      <xdr:nvCxnSpPr>
        <xdr:cNvPr id="49" name="Прямая соединительная линия 48"/>
        <xdr:cNvCxnSpPr/>
      </xdr:nvCxnSpPr>
      <xdr:spPr>
        <a:xfrm>
          <a:off x="10207549" y="3914444"/>
          <a:ext cx="85064" cy="7084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539013</xdr:colOff>
      <xdr:row>20</xdr:row>
      <xdr:rowOff>175285</xdr:rowOff>
    </xdr:from>
    <xdr:to>
      <xdr:col>16</xdr:col>
      <xdr:colOff>604113</xdr:colOff>
      <xdr:row>21</xdr:row>
      <xdr:rowOff>63093</xdr:rowOff>
    </xdr:to>
    <xdr:cxnSp macro="">
      <xdr:nvCxnSpPr>
        <xdr:cNvPr id="50" name="Прямая соединительная линия 49"/>
        <xdr:cNvCxnSpPr/>
      </xdr:nvCxnSpPr>
      <xdr:spPr>
        <a:xfrm>
          <a:off x="10292613" y="3985285"/>
          <a:ext cx="65100" cy="7830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604113</xdr:colOff>
      <xdr:row>21</xdr:row>
      <xdr:rowOff>63093</xdr:rowOff>
    </xdr:from>
    <xdr:to>
      <xdr:col>17</xdr:col>
      <xdr:colOff>36144</xdr:colOff>
      <xdr:row>21</xdr:row>
      <xdr:rowOff>142316</xdr:rowOff>
    </xdr:to>
    <xdr:cxnSp macro="">
      <xdr:nvCxnSpPr>
        <xdr:cNvPr id="51" name="Прямая соединительная линия 50"/>
        <xdr:cNvCxnSpPr/>
      </xdr:nvCxnSpPr>
      <xdr:spPr>
        <a:xfrm>
          <a:off x="10357713" y="4063593"/>
          <a:ext cx="41631" cy="7922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36144</xdr:colOff>
      <xdr:row>21</xdr:row>
      <xdr:rowOff>142316</xdr:rowOff>
    </xdr:from>
    <xdr:to>
      <xdr:col>17</xdr:col>
      <xdr:colOff>50800</xdr:colOff>
      <xdr:row>22</xdr:row>
      <xdr:rowOff>25400</xdr:rowOff>
    </xdr:to>
    <xdr:cxnSp macro="">
      <xdr:nvCxnSpPr>
        <xdr:cNvPr id="52" name="Прямая соединительная линия 51"/>
        <xdr:cNvCxnSpPr/>
      </xdr:nvCxnSpPr>
      <xdr:spPr>
        <a:xfrm>
          <a:off x="10399344" y="4142816"/>
          <a:ext cx="14656" cy="735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200024</xdr:colOff>
      <xdr:row>2</xdr:row>
      <xdr:rowOff>38100</xdr:rowOff>
    </xdr:from>
    <xdr:to>
      <xdr:col>18</xdr:col>
      <xdr:colOff>495299</xdr:colOff>
      <xdr:row>14</xdr:row>
      <xdr:rowOff>54139</xdr:rowOff>
    </xdr:to>
    <xdr:pic>
      <xdr:nvPicPr>
        <xdr:cNvPr id="5126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4" y="419100"/>
          <a:ext cx="4562475" cy="2302039"/>
        </a:xfrm>
        <a:prstGeom prst="rect">
          <a:avLst/>
        </a:prstGeom>
        <a:noFill/>
      </xdr:spPr>
    </xdr:pic>
    <xdr:clientData/>
  </xdr:twoCellAnchor>
  <xdr:twoCellAnchor>
    <xdr:from>
      <xdr:col>2</xdr:col>
      <xdr:colOff>69469</xdr:colOff>
      <xdr:row>82</xdr:row>
      <xdr:rowOff>115524</xdr:rowOff>
    </xdr:from>
    <xdr:to>
      <xdr:col>2</xdr:col>
      <xdr:colOff>90509</xdr:colOff>
      <xdr:row>82</xdr:row>
      <xdr:rowOff>187960</xdr:rowOff>
    </xdr:to>
    <xdr:cxnSp macro="">
      <xdr:nvCxnSpPr>
        <xdr:cNvPr id="503" name="Прямая соединительная линия 502"/>
        <xdr:cNvCxnSpPr/>
      </xdr:nvCxnSpPr>
      <xdr:spPr>
        <a:xfrm flipV="1">
          <a:off x="1288669" y="15736524"/>
          <a:ext cx="21040" cy="7243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90509</xdr:colOff>
      <xdr:row>82</xdr:row>
      <xdr:rowOff>25593</xdr:rowOff>
    </xdr:from>
    <xdr:to>
      <xdr:col>2</xdr:col>
      <xdr:colOff>138050</xdr:colOff>
      <xdr:row>82</xdr:row>
      <xdr:rowOff>115524</xdr:rowOff>
    </xdr:to>
    <xdr:cxnSp macro="">
      <xdr:nvCxnSpPr>
        <xdr:cNvPr id="504" name="Прямая соединительная линия 503"/>
        <xdr:cNvCxnSpPr/>
      </xdr:nvCxnSpPr>
      <xdr:spPr>
        <a:xfrm flipV="1">
          <a:off x="1309709" y="15646593"/>
          <a:ext cx="47541" cy="89931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138050</xdr:colOff>
      <xdr:row>81</xdr:row>
      <xdr:rowOff>123708</xdr:rowOff>
    </xdr:from>
    <xdr:to>
      <xdr:col>2</xdr:col>
      <xdr:colOff>214319</xdr:colOff>
      <xdr:row>82</xdr:row>
      <xdr:rowOff>25593</xdr:rowOff>
    </xdr:to>
    <xdr:cxnSp macro="">
      <xdr:nvCxnSpPr>
        <xdr:cNvPr id="505" name="Прямая соединительная линия 504"/>
        <xdr:cNvCxnSpPr/>
      </xdr:nvCxnSpPr>
      <xdr:spPr>
        <a:xfrm flipV="1">
          <a:off x="1357250" y="15554208"/>
          <a:ext cx="76269" cy="9238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214319</xdr:colOff>
      <xdr:row>81</xdr:row>
      <xdr:rowOff>43912</xdr:rowOff>
    </xdr:from>
    <xdr:to>
      <xdr:col>2</xdr:col>
      <xdr:colOff>321546</xdr:colOff>
      <xdr:row>81</xdr:row>
      <xdr:rowOff>123708</xdr:rowOff>
    </xdr:to>
    <xdr:cxnSp macro="">
      <xdr:nvCxnSpPr>
        <xdr:cNvPr id="506" name="Прямая соединительная линия 505"/>
        <xdr:cNvCxnSpPr/>
      </xdr:nvCxnSpPr>
      <xdr:spPr>
        <a:xfrm flipV="1">
          <a:off x="1433519" y="15474412"/>
          <a:ext cx="107227" cy="79796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321546</xdr:colOff>
      <xdr:row>80</xdr:row>
      <xdr:rowOff>182244</xdr:rowOff>
    </xdr:from>
    <xdr:to>
      <xdr:col>2</xdr:col>
      <xdr:colOff>461962</xdr:colOff>
      <xdr:row>81</xdr:row>
      <xdr:rowOff>43912</xdr:rowOff>
    </xdr:to>
    <xdr:cxnSp macro="">
      <xdr:nvCxnSpPr>
        <xdr:cNvPr id="507" name="Прямая соединительная линия 506"/>
        <xdr:cNvCxnSpPr/>
      </xdr:nvCxnSpPr>
      <xdr:spPr>
        <a:xfrm flipV="1">
          <a:off x="1540746" y="15422244"/>
          <a:ext cx="140416" cy="5216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461962</xdr:colOff>
      <xdr:row>80</xdr:row>
      <xdr:rowOff>172750</xdr:rowOff>
    </xdr:from>
    <xdr:to>
      <xdr:col>3</xdr:col>
      <xdr:colOff>28195</xdr:colOff>
      <xdr:row>80</xdr:row>
      <xdr:rowOff>182244</xdr:rowOff>
    </xdr:to>
    <xdr:cxnSp macro="">
      <xdr:nvCxnSpPr>
        <xdr:cNvPr id="508" name="Прямая соединительная линия 507"/>
        <xdr:cNvCxnSpPr/>
      </xdr:nvCxnSpPr>
      <xdr:spPr>
        <a:xfrm flipV="1">
          <a:off x="1681162" y="15412750"/>
          <a:ext cx="175833" cy="9494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28195</xdr:colOff>
      <xdr:row>80</xdr:row>
      <xdr:rowOff>172750</xdr:rowOff>
    </xdr:from>
    <xdr:to>
      <xdr:col>3</xdr:col>
      <xdr:colOff>241676</xdr:colOff>
      <xdr:row>81</xdr:row>
      <xdr:rowOff>30469</xdr:rowOff>
    </xdr:to>
    <xdr:cxnSp macro="">
      <xdr:nvCxnSpPr>
        <xdr:cNvPr id="509" name="Прямая соединительная линия 508"/>
        <xdr:cNvCxnSpPr/>
      </xdr:nvCxnSpPr>
      <xdr:spPr>
        <a:xfrm>
          <a:off x="1856995" y="15412750"/>
          <a:ext cx="213481" cy="4821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241676</xdr:colOff>
      <xdr:row>81</xdr:row>
      <xdr:rowOff>30469</xdr:rowOff>
    </xdr:from>
    <xdr:to>
      <xdr:col>3</xdr:col>
      <xdr:colOff>495034</xdr:colOff>
      <xdr:row>81</xdr:row>
      <xdr:rowOff>151445</xdr:rowOff>
    </xdr:to>
    <xdr:cxnSp macro="">
      <xdr:nvCxnSpPr>
        <xdr:cNvPr id="510" name="Прямая соединительная линия 509"/>
        <xdr:cNvCxnSpPr/>
      </xdr:nvCxnSpPr>
      <xdr:spPr>
        <a:xfrm>
          <a:off x="2070476" y="15460969"/>
          <a:ext cx="253358" cy="120976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495034</xdr:colOff>
      <xdr:row>81</xdr:row>
      <xdr:rowOff>151445</xdr:rowOff>
    </xdr:from>
    <xdr:to>
      <xdr:col>4</xdr:col>
      <xdr:colOff>180899</xdr:colOff>
      <xdr:row>82</xdr:row>
      <xdr:rowOff>169718</xdr:rowOff>
    </xdr:to>
    <xdr:cxnSp macro="">
      <xdr:nvCxnSpPr>
        <xdr:cNvPr id="511" name="Прямая соединительная линия 510"/>
        <xdr:cNvCxnSpPr/>
      </xdr:nvCxnSpPr>
      <xdr:spPr>
        <a:xfrm>
          <a:off x="2323834" y="15581945"/>
          <a:ext cx="295465" cy="20877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180899</xdr:colOff>
      <xdr:row>82</xdr:row>
      <xdr:rowOff>169718</xdr:rowOff>
    </xdr:from>
    <xdr:to>
      <xdr:col>4</xdr:col>
      <xdr:colOff>520700</xdr:colOff>
      <xdr:row>84</xdr:row>
      <xdr:rowOff>100330</xdr:rowOff>
    </xdr:to>
    <xdr:cxnSp macro="">
      <xdr:nvCxnSpPr>
        <xdr:cNvPr id="512" name="Прямая соединительная линия 511"/>
        <xdr:cNvCxnSpPr/>
      </xdr:nvCxnSpPr>
      <xdr:spPr>
        <a:xfrm>
          <a:off x="2619299" y="15790718"/>
          <a:ext cx="339801" cy="311612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520700</xdr:colOff>
      <xdr:row>83</xdr:row>
      <xdr:rowOff>141354</xdr:rowOff>
    </xdr:from>
    <xdr:to>
      <xdr:col>4</xdr:col>
      <xdr:colOff>603999</xdr:colOff>
      <xdr:row>84</xdr:row>
      <xdr:rowOff>100330</xdr:rowOff>
    </xdr:to>
    <xdr:cxnSp macro="">
      <xdr:nvCxnSpPr>
        <xdr:cNvPr id="513" name="Прямая соединительная линия 512"/>
        <xdr:cNvCxnSpPr/>
      </xdr:nvCxnSpPr>
      <xdr:spPr>
        <a:xfrm flipV="1">
          <a:off x="2959100" y="15952854"/>
          <a:ext cx="83299" cy="14947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603999</xdr:colOff>
      <xdr:row>83</xdr:row>
      <xdr:rowOff>8952</xdr:rowOff>
    </xdr:from>
    <xdr:to>
      <xdr:col>5</xdr:col>
      <xdr:colOff>129438</xdr:colOff>
      <xdr:row>83</xdr:row>
      <xdr:rowOff>141354</xdr:rowOff>
    </xdr:to>
    <xdr:cxnSp macro="">
      <xdr:nvCxnSpPr>
        <xdr:cNvPr id="514" name="Прямая соединительная линия 513"/>
        <xdr:cNvCxnSpPr/>
      </xdr:nvCxnSpPr>
      <xdr:spPr>
        <a:xfrm flipV="1">
          <a:off x="3042399" y="15820452"/>
          <a:ext cx="135039" cy="132402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129438</xdr:colOff>
      <xdr:row>82</xdr:row>
      <xdr:rowOff>94105</xdr:rowOff>
    </xdr:from>
    <xdr:to>
      <xdr:col>5</xdr:col>
      <xdr:colOff>303949</xdr:colOff>
      <xdr:row>83</xdr:row>
      <xdr:rowOff>8952</xdr:rowOff>
    </xdr:to>
    <xdr:cxnSp macro="">
      <xdr:nvCxnSpPr>
        <xdr:cNvPr id="515" name="Прямая соединительная линия 514"/>
        <xdr:cNvCxnSpPr/>
      </xdr:nvCxnSpPr>
      <xdr:spPr>
        <a:xfrm flipV="1">
          <a:off x="3177438" y="15715105"/>
          <a:ext cx="174511" cy="10534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303949</xdr:colOff>
      <xdr:row>82</xdr:row>
      <xdr:rowOff>25792</xdr:rowOff>
    </xdr:from>
    <xdr:to>
      <xdr:col>5</xdr:col>
      <xdr:colOff>505663</xdr:colOff>
      <xdr:row>82</xdr:row>
      <xdr:rowOff>94105</xdr:rowOff>
    </xdr:to>
    <xdr:cxnSp macro="">
      <xdr:nvCxnSpPr>
        <xdr:cNvPr id="516" name="Прямая соединительная линия 515"/>
        <xdr:cNvCxnSpPr/>
      </xdr:nvCxnSpPr>
      <xdr:spPr>
        <a:xfrm flipV="1">
          <a:off x="3351949" y="15646792"/>
          <a:ext cx="201714" cy="68313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505663</xdr:colOff>
      <xdr:row>82</xdr:row>
      <xdr:rowOff>4492</xdr:rowOff>
    </xdr:from>
    <xdr:to>
      <xdr:col>6</xdr:col>
      <xdr:colOff>112712</xdr:colOff>
      <xdr:row>82</xdr:row>
      <xdr:rowOff>25792</xdr:rowOff>
    </xdr:to>
    <xdr:cxnSp macro="">
      <xdr:nvCxnSpPr>
        <xdr:cNvPr id="517" name="Прямая соединительная линия 516"/>
        <xdr:cNvCxnSpPr/>
      </xdr:nvCxnSpPr>
      <xdr:spPr>
        <a:xfrm flipV="1">
          <a:off x="3553663" y="15625492"/>
          <a:ext cx="216649" cy="21300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112712</xdr:colOff>
      <xdr:row>82</xdr:row>
      <xdr:rowOff>4492</xdr:rowOff>
    </xdr:from>
    <xdr:to>
      <xdr:col>6</xdr:col>
      <xdr:colOff>332028</xdr:colOff>
      <xdr:row>82</xdr:row>
      <xdr:rowOff>40186</xdr:rowOff>
    </xdr:to>
    <xdr:cxnSp macro="">
      <xdr:nvCxnSpPr>
        <xdr:cNvPr id="518" name="Прямая соединительная линия 517"/>
        <xdr:cNvCxnSpPr/>
      </xdr:nvCxnSpPr>
      <xdr:spPr>
        <a:xfrm>
          <a:off x="3770312" y="15625492"/>
          <a:ext cx="219316" cy="35694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332028</xdr:colOff>
      <xdr:row>82</xdr:row>
      <xdr:rowOff>40186</xdr:rowOff>
    </xdr:from>
    <xdr:to>
      <xdr:col>6</xdr:col>
      <xdr:colOff>541744</xdr:colOff>
      <xdr:row>82</xdr:row>
      <xdr:rowOff>142854</xdr:rowOff>
    </xdr:to>
    <xdr:cxnSp macro="">
      <xdr:nvCxnSpPr>
        <xdr:cNvPr id="519" name="Прямая соединительная линия 518"/>
        <xdr:cNvCxnSpPr/>
      </xdr:nvCxnSpPr>
      <xdr:spPr>
        <a:xfrm>
          <a:off x="3989628" y="15661186"/>
          <a:ext cx="209716" cy="10266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541744</xdr:colOff>
      <xdr:row>82</xdr:row>
      <xdr:rowOff>142854</xdr:rowOff>
    </xdr:from>
    <xdr:to>
      <xdr:col>7</xdr:col>
      <xdr:colOff>119989</xdr:colOff>
      <xdr:row>83</xdr:row>
      <xdr:rowOff>131976</xdr:rowOff>
    </xdr:to>
    <xdr:cxnSp macro="">
      <xdr:nvCxnSpPr>
        <xdr:cNvPr id="520" name="Прямая соединительная линия 519"/>
        <xdr:cNvCxnSpPr/>
      </xdr:nvCxnSpPr>
      <xdr:spPr>
        <a:xfrm>
          <a:off x="4199344" y="15763854"/>
          <a:ext cx="187845" cy="179622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119989</xdr:colOff>
      <xdr:row>83</xdr:row>
      <xdr:rowOff>131976</xdr:rowOff>
    </xdr:from>
    <xdr:to>
      <xdr:col>7</xdr:col>
      <xdr:colOff>273697</xdr:colOff>
      <xdr:row>85</xdr:row>
      <xdr:rowOff>17530</xdr:rowOff>
    </xdr:to>
    <xdr:cxnSp macro="">
      <xdr:nvCxnSpPr>
        <xdr:cNvPr id="521" name="Прямая соединительная линия 520"/>
        <xdr:cNvCxnSpPr/>
      </xdr:nvCxnSpPr>
      <xdr:spPr>
        <a:xfrm>
          <a:off x="4387189" y="15943476"/>
          <a:ext cx="153708" cy="26655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273697</xdr:colOff>
      <xdr:row>85</xdr:row>
      <xdr:rowOff>17530</xdr:rowOff>
    </xdr:from>
    <xdr:to>
      <xdr:col>7</xdr:col>
      <xdr:colOff>381000</xdr:colOff>
      <xdr:row>87</xdr:row>
      <xdr:rowOff>0</xdr:rowOff>
    </xdr:to>
    <xdr:cxnSp macro="">
      <xdr:nvCxnSpPr>
        <xdr:cNvPr id="522" name="Прямая соединительная линия 521"/>
        <xdr:cNvCxnSpPr/>
      </xdr:nvCxnSpPr>
      <xdr:spPr>
        <a:xfrm>
          <a:off x="4540897" y="16210030"/>
          <a:ext cx="107303" cy="363470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381000</xdr:colOff>
      <xdr:row>87</xdr:row>
      <xdr:rowOff>0</xdr:rowOff>
    </xdr:from>
    <xdr:to>
      <xdr:col>7</xdr:col>
      <xdr:colOff>538619</xdr:colOff>
      <xdr:row>87</xdr:row>
      <xdr:rowOff>159753</xdr:rowOff>
    </xdr:to>
    <xdr:cxnSp macro="">
      <xdr:nvCxnSpPr>
        <xdr:cNvPr id="523" name="Прямая соединительная линия 522"/>
        <xdr:cNvCxnSpPr/>
      </xdr:nvCxnSpPr>
      <xdr:spPr>
        <a:xfrm>
          <a:off x="4648200" y="16573500"/>
          <a:ext cx="157619" cy="15975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538619</xdr:colOff>
      <xdr:row>87</xdr:row>
      <xdr:rowOff>159753</xdr:rowOff>
    </xdr:from>
    <xdr:to>
      <xdr:col>8</xdr:col>
      <xdr:colOff>82905</xdr:colOff>
      <xdr:row>88</xdr:row>
      <xdr:rowOff>127406</xdr:rowOff>
    </xdr:to>
    <xdr:cxnSp macro="">
      <xdr:nvCxnSpPr>
        <xdr:cNvPr id="524" name="Прямая соединительная линия 523"/>
        <xdr:cNvCxnSpPr/>
      </xdr:nvCxnSpPr>
      <xdr:spPr>
        <a:xfrm>
          <a:off x="4805819" y="16733253"/>
          <a:ext cx="153886" cy="158153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82905</xdr:colOff>
      <xdr:row>88</xdr:row>
      <xdr:rowOff>127406</xdr:rowOff>
    </xdr:from>
    <xdr:to>
      <xdr:col>8</xdr:col>
      <xdr:colOff>234657</xdr:colOff>
      <xdr:row>89</xdr:row>
      <xdr:rowOff>91859</xdr:rowOff>
    </xdr:to>
    <xdr:cxnSp macro="">
      <xdr:nvCxnSpPr>
        <xdr:cNvPr id="525" name="Прямая соединительная линия 524"/>
        <xdr:cNvCxnSpPr/>
      </xdr:nvCxnSpPr>
      <xdr:spPr>
        <a:xfrm>
          <a:off x="4959705" y="16891406"/>
          <a:ext cx="151752" cy="15495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234657</xdr:colOff>
      <xdr:row>89</xdr:row>
      <xdr:rowOff>91859</xdr:rowOff>
    </xdr:from>
    <xdr:to>
      <xdr:col>8</xdr:col>
      <xdr:colOff>385876</xdr:colOff>
      <xdr:row>90</xdr:row>
      <xdr:rowOff>51511</xdr:rowOff>
    </xdr:to>
    <xdr:cxnSp macro="">
      <xdr:nvCxnSpPr>
        <xdr:cNvPr id="526" name="Прямая соединительная линия 525"/>
        <xdr:cNvCxnSpPr/>
      </xdr:nvCxnSpPr>
      <xdr:spPr>
        <a:xfrm>
          <a:off x="5111457" y="17046359"/>
          <a:ext cx="151219" cy="150152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385876</xdr:colOff>
      <xdr:row>90</xdr:row>
      <xdr:rowOff>51511</xdr:rowOff>
    </xdr:from>
    <xdr:to>
      <xdr:col>8</xdr:col>
      <xdr:colOff>538162</xdr:colOff>
      <xdr:row>91</xdr:row>
      <xdr:rowOff>4762</xdr:rowOff>
    </xdr:to>
    <xdr:cxnSp macro="">
      <xdr:nvCxnSpPr>
        <xdr:cNvPr id="527" name="Прямая соединительная линия 526"/>
        <xdr:cNvCxnSpPr/>
      </xdr:nvCxnSpPr>
      <xdr:spPr>
        <a:xfrm>
          <a:off x="5262676" y="17196511"/>
          <a:ext cx="152286" cy="14375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538162</xdr:colOff>
      <xdr:row>91</xdr:row>
      <xdr:rowOff>4762</xdr:rowOff>
    </xdr:from>
    <xdr:to>
      <xdr:col>9</xdr:col>
      <xdr:colOff>83515</xdr:colOff>
      <xdr:row>91</xdr:row>
      <xdr:rowOff>140512</xdr:rowOff>
    </xdr:to>
    <xdr:cxnSp macro="">
      <xdr:nvCxnSpPr>
        <xdr:cNvPr id="528" name="Прямая соединительная линия 527"/>
        <xdr:cNvCxnSpPr/>
      </xdr:nvCxnSpPr>
      <xdr:spPr>
        <a:xfrm>
          <a:off x="5414962" y="17340262"/>
          <a:ext cx="154953" cy="135750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83515</xdr:colOff>
      <xdr:row>91</xdr:row>
      <xdr:rowOff>140512</xdr:rowOff>
    </xdr:from>
    <xdr:to>
      <xdr:col>9</xdr:col>
      <xdr:colOff>242735</xdr:colOff>
      <xdr:row>92</xdr:row>
      <xdr:rowOff>76161</xdr:rowOff>
    </xdr:to>
    <xdr:cxnSp macro="">
      <xdr:nvCxnSpPr>
        <xdr:cNvPr id="529" name="Прямая соединительная линия 528"/>
        <xdr:cNvCxnSpPr/>
      </xdr:nvCxnSpPr>
      <xdr:spPr>
        <a:xfrm>
          <a:off x="5569915" y="17476012"/>
          <a:ext cx="159220" cy="126149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242735</xdr:colOff>
      <xdr:row>92</xdr:row>
      <xdr:rowOff>76161</xdr:rowOff>
    </xdr:from>
    <xdr:to>
      <xdr:col>9</xdr:col>
      <xdr:colOff>407822</xdr:colOff>
      <xdr:row>93</xdr:row>
      <xdr:rowOff>609</xdr:rowOff>
    </xdr:to>
    <xdr:cxnSp macro="">
      <xdr:nvCxnSpPr>
        <xdr:cNvPr id="530" name="Прямая соединительная линия 529"/>
        <xdr:cNvCxnSpPr/>
      </xdr:nvCxnSpPr>
      <xdr:spPr>
        <a:xfrm>
          <a:off x="5729135" y="17602161"/>
          <a:ext cx="165087" cy="114948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407822</xdr:colOff>
      <xdr:row>93</xdr:row>
      <xdr:rowOff>609</xdr:rowOff>
    </xdr:from>
    <xdr:to>
      <xdr:col>9</xdr:col>
      <xdr:colOff>580377</xdr:colOff>
      <xdr:row>93</xdr:row>
      <xdr:rowOff>102754</xdr:rowOff>
    </xdr:to>
    <xdr:cxnSp macro="">
      <xdr:nvCxnSpPr>
        <xdr:cNvPr id="531" name="Прямая соединительная линия 530"/>
        <xdr:cNvCxnSpPr/>
      </xdr:nvCxnSpPr>
      <xdr:spPr>
        <a:xfrm>
          <a:off x="5894222" y="17717109"/>
          <a:ext cx="172555" cy="10214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580377</xdr:colOff>
      <xdr:row>93</xdr:row>
      <xdr:rowOff>102754</xdr:rowOff>
    </xdr:from>
    <xdr:to>
      <xdr:col>10</xdr:col>
      <xdr:colOff>152400</xdr:colOff>
      <xdr:row>94</xdr:row>
      <xdr:rowOff>0</xdr:rowOff>
    </xdr:to>
    <xdr:cxnSp macro="">
      <xdr:nvCxnSpPr>
        <xdr:cNvPr id="532" name="Прямая соединительная линия 531"/>
        <xdr:cNvCxnSpPr/>
      </xdr:nvCxnSpPr>
      <xdr:spPr>
        <a:xfrm>
          <a:off x="6066777" y="17819254"/>
          <a:ext cx="181623" cy="87746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93</xdr:row>
      <xdr:rowOff>8343</xdr:rowOff>
    </xdr:from>
    <xdr:to>
      <xdr:col>10</xdr:col>
      <xdr:colOff>297929</xdr:colOff>
      <xdr:row>94</xdr:row>
      <xdr:rowOff>0</xdr:rowOff>
    </xdr:to>
    <xdr:cxnSp macro="">
      <xdr:nvCxnSpPr>
        <xdr:cNvPr id="533" name="Прямая соединительная линия 532"/>
        <xdr:cNvCxnSpPr/>
      </xdr:nvCxnSpPr>
      <xdr:spPr>
        <a:xfrm flipV="1">
          <a:off x="6248400" y="17724843"/>
          <a:ext cx="145529" cy="182157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297929</xdr:colOff>
      <xdr:row>92</xdr:row>
      <xdr:rowOff>75894</xdr:rowOff>
    </xdr:from>
    <xdr:to>
      <xdr:col>10</xdr:col>
      <xdr:colOff>463194</xdr:colOff>
      <xdr:row>93</xdr:row>
      <xdr:rowOff>8343</xdr:rowOff>
    </xdr:to>
    <xdr:cxnSp macro="">
      <xdr:nvCxnSpPr>
        <xdr:cNvPr id="534" name="Прямая соединительная линия 533"/>
        <xdr:cNvCxnSpPr/>
      </xdr:nvCxnSpPr>
      <xdr:spPr>
        <a:xfrm flipV="1">
          <a:off x="6393929" y="17601894"/>
          <a:ext cx="165265" cy="122949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463194</xdr:colOff>
      <xdr:row>92</xdr:row>
      <xdr:rowOff>7353</xdr:rowOff>
    </xdr:from>
    <xdr:to>
      <xdr:col>11</xdr:col>
      <xdr:colOff>31660</xdr:colOff>
      <xdr:row>92</xdr:row>
      <xdr:rowOff>75894</xdr:rowOff>
    </xdr:to>
    <xdr:cxnSp macro="">
      <xdr:nvCxnSpPr>
        <xdr:cNvPr id="535" name="Прямая соединительная линия 534"/>
        <xdr:cNvCxnSpPr/>
      </xdr:nvCxnSpPr>
      <xdr:spPr>
        <a:xfrm flipV="1">
          <a:off x="6559194" y="17533353"/>
          <a:ext cx="178066" cy="68541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31660</xdr:colOff>
      <xdr:row>91</xdr:row>
      <xdr:rowOff>178917</xdr:rowOff>
    </xdr:from>
    <xdr:to>
      <xdr:col>11</xdr:col>
      <xdr:colOff>215595</xdr:colOff>
      <xdr:row>92</xdr:row>
      <xdr:rowOff>7353</xdr:rowOff>
    </xdr:to>
    <xdr:cxnSp macro="">
      <xdr:nvCxnSpPr>
        <xdr:cNvPr id="536" name="Прямая соединительная линия 535"/>
        <xdr:cNvCxnSpPr/>
      </xdr:nvCxnSpPr>
      <xdr:spPr>
        <a:xfrm flipV="1">
          <a:off x="6737260" y="17514417"/>
          <a:ext cx="183935" cy="1893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215595</xdr:colOff>
      <xdr:row>91</xdr:row>
      <xdr:rowOff>178917</xdr:rowOff>
    </xdr:from>
    <xdr:to>
      <xdr:col>11</xdr:col>
      <xdr:colOff>398462</xdr:colOff>
      <xdr:row>92</xdr:row>
      <xdr:rowOff>14287</xdr:rowOff>
    </xdr:to>
    <xdr:cxnSp macro="">
      <xdr:nvCxnSpPr>
        <xdr:cNvPr id="537" name="Прямая соединительная линия 536"/>
        <xdr:cNvCxnSpPr/>
      </xdr:nvCxnSpPr>
      <xdr:spPr>
        <a:xfrm>
          <a:off x="6921195" y="17514417"/>
          <a:ext cx="182867" cy="25870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398462</xdr:colOff>
      <xdr:row>92</xdr:row>
      <xdr:rowOff>14287</xdr:rowOff>
    </xdr:from>
    <xdr:to>
      <xdr:col>11</xdr:col>
      <xdr:colOff>573328</xdr:colOff>
      <xdr:row>92</xdr:row>
      <xdr:rowOff>80162</xdr:rowOff>
    </xdr:to>
    <xdr:cxnSp macro="">
      <xdr:nvCxnSpPr>
        <xdr:cNvPr id="538" name="Прямая соединительная линия 537"/>
        <xdr:cNvCxnSpPr/>
      </xdr:nvCxnSpPr>
      <xdr:spPr>
        <a:xfrm>
          <a:off x="7104062" y="17540287"/>
          <a:ext cx="174866" cy="6587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573328</xdr:colOff>
      <xdr:row>92</xdr:row>
      <xdr:rowOff>80162</xdr:rowOff>
    </xdr:from>
    <xdr:to>
      <xdr:col>12</xdr:col>
      <xdr:colOff>123659</xdr:colOff>
      <xdr:row>92</xdr:row>
      <xdr:rowOff>181241</xdr:rowOff>
    </xdr:to>
    <xdr:cxnSp macro="">
      <xdr:nvCxnSpPr>
        <xdr:cNvPr id="539" name="Прямая соединительная линия 538"/>
        <xdr:cNvCxnSpPr/>
      </xdr:nvCxnSpPr>
      <xdr:spPr>
        <a:xfrm>
          <a:off x="7278928" y="17606162"/>
          <a:ext cx="159931" cy="101079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123659</xdr:colOff>
      <xdr:row>92</xdr:row>
      <xdr:rowOff>181241</xdr:rowOff>
    </xdr:from>
    <xdr:to>
      <xdr:col>12</xdr:col>
      <xdr:colOff>261721</xdr:colOff>
      <xdr:row>93</xdr:row>
      <xdr:rowOff>122225</xdr:rowOff>
    </xdr:to>
    <xdr:cxnSp macro="">
      <xdr:nvCxnSpPr>
        <xdr:cNvPr id="540" name="Прямая соединительная линия 539"/>
        <xdr:cNvCxnSpPr/>
      </xdr:nvCxnSpPr>
      <xdr:spPr>
        <a:xfrm>
          <a:off x="7438859" y="17707241"/>
          <a:ext cx="138062" cy="131484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261721</xdr:colOff>
      <xdr:row>93</xdr:row>
      <xdr:rowOff>122225</xdr:rowOff>
    </xdr:from>
    <xdr:to>
      <xdr:col>12</xdr:col>
      <xdr:colOff>370979</xdr:colOff>
      <xdr:row>94</xdr:row>
      <xdr:rowOff>88811</xdr:rowOff>
    </xdr:to>
    <xdr:cxnSp macro="">
      <xdr:nvCxnSpPr>
        <xdr:cNvPr id="541" name="Прямая соединительная линия 540"/>
        <xdr:cNvCxnSpPr/>
      </xdr:nvCxnSpPr>
      <xdr:spPr>
        <a:xfrm>
          <a:off x="7576921" y="17838725"/>
          <a:ext cx="109258" cy="157086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370979</xdr:colOff>
      <xdr:row>94</xdr:row>
      <xdr:rowOff>88811</xdr:rowOff>
    </xdr:from>
    <xdr:to>
      <xdr:col>12</xdr:col>
      <xdr:colOff>444500</xdr:colOff>
      <xdr:row>95</xdr:row>
      <xdr:rowOff>76200</xdr:rowOff>
    </xdr:to>
    <xdr:cxnSp macro="">
      <xdr:nvCxnSpPr>
        <xdr:cNvPr id="542" name="Прямая соединительная линия 541"/>
        <xdr:cNvCxnSpPr/>
      </xdr:nvCxnSpPr>
      <xdr:spPr>
        <a:xfrm>
          <a:off x="7686179" y="17995811"/>
          <a:ext cx="73521" cy="177889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444500</xdr:colOff>
      <xdr:row>93</xdr:row>
      <xdr:rowOff>66662</xdr:rowOff>
    </xdr:from>
    <xdr:to>
      <xdr:col>13</xdr:col>
      <xdr:colOff>294246</xdr:colOff>
      <xdr:row>95</xdr:row>
      <xdr:rowOff>76200</xdr:rowOff>
    </xdr:to>
    <xdr:cxnSp macro="">
      <xdr:nvCxnSpPr>
        <xdr:cNvPr id="543" name="Прямая соединительная линия 542"/>
        <xdr:cNvCxnSpPr/>
      </xdr:nvCxnSpPr>
      <xdr:spPr>
        <a:xfrm flipV="1">
          <a:off x="7759700" y="17783162"/>
          <a:ext cx="459346" cy="39053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294246</xdr:colOff>
      <xdr:row>92</xdr:row>
      <xdr:rowOff>30377</xdr:rowOff>
    </xdr:from>
    <xdr:to>
      <xdr:col>14</xdr:col>
      <xdr:colOff>147726</xdr:colOff>
      <xdr:row>93</xdr:row>
      <xdr:rowOff>66662</xdr:rowOff>
    </xdr:to>
    <xdr:cxnSp macro="">
      <xdr:nvCxnSpPr>
        <xdr:cNvPr id="544" name="Прямая соединительная линия 543"/>
        <xdr:cNvCxnSpPr/>
      </xdr:nvCxnSpPr>
      <xdr:spPr>
        <a:xfrm flipV="1">
          <a:off x="8219046" y="17556377"/>
          <a:ext cx="463080" cy="226785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147726</xdr:colOff>
      <xdr:row>91</xdr:row>
      <xdr:rowOff>134912</xdr:rowOff>
    </xdr:from>
    <xdr:to>
      <xdr:col>14</xdr:col>
      <xdr:colOff>602271</xdr:colOff>
      <xdr:row>92</xdr:row>
      <xdr:rowOff>30377</xdr:rowOff>
    </xdr:to>
    <xdr:cxnSp macro="">
      <xdr:nvCxnSpPr>
        <xdr:cNvPr id="545" name="Прямая соединительная линия 544"/>
        <xdr:cNvCxnSpPr/>
      </xdr:nvCxnSpPr>
      <xdr:spPr>
        <a:xfrm flipV="1">
          <a:off x="8682126" y="17470412"/>
          <a:ext cx="454545" cy="8596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602271</xdr:colOff>
      <xdr:row>91</xdr:row>
      <xdr:rowOff>134912</xdr:rowOff>
    </xdr:from>
    <xdr:to>
      <xdr:col>15</xdr:col>
      <xdr:colOff>426415</xdr:colOff>
      <xdr:row>91</xdr:row>
      <xdr:rowOff>166827</xdr:rowOff>
    </xdr:to>
    <xdr:cxnSp macro="">
      <xdr:nvCxnSpPr>
        <xdr:cNvPr id="546" name="Прямая соединительная линия 545"/>
        <xdr:cNvCxnSpPr/>
      </xdr:nvCxnSpPr>
      <xdr:spPr>
        <a:xfrm>
          <a:off x="9136671" y="17470412"/>
          <a:ext cx="433744" cy="31915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426415</xdr:colOff>
      <xdr:row>91</xdr:row>
      <xdr:rowOff>166827</xdr:rowOff>
    </xdr:from>
    <xdr:to>
      <xdr:col>16</xdr:col>
      <xdr:colOff>217487</xdr:colOff>
      <xdr:row>92</xdr:row>
      <xdr:rowOff>103187</xdr:rowOff>
    </xdr:to>
    <xdr:cxnSp macro="">
      <xdr:nvCxnSpPr>
        <xdr:cNvPr id="547" name="Прямая соединительная линия 546"/>
        <xdr:cNvCxnSpPr/>
      </xdr:nvCxnSpPr>
      <xdr:spPr>
        <a:xfrm>
          <a:off x="9570415" y="17502327"/>
          <a:ext cx="400672" cy="12686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217487</xdr:colOff>
      <xdr:row>92</xdr:row>
      <xdr:rowOff>103187</xdr:rowOff>
    </xdr:from>
    <xdr:to>
      <xdr:col>16</xdr:col>
      <xdr:colOff>572820</xdr:colOff>
      <xdr:row>93</xdr:row>
      <xdr:rowOff>111557</xdr:rowOff>
    </xdr:to>
    <xdr:cxnSp macro="">
      <xdr:nvCxnSpPr>
        <xdr:cNvPr id="548" name="Прямая соединительная линия 547"/>
        <xdr:cNvCxnSpPr/>
      </xdr:nvCxnSpPr>
      <xdr:spPr>
        <a:xfrm>
          <a:off x="9971087" y="17629187"/>
          <a:ext cx="355333" cy="198870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572820</xdr:colOff>
      <xdr:row>93</xdr:row>
      <xdr:rowOff>111557</xdr:rowOff>
    </xdr:from>
    <xdr:to>
      <xdr:col>17</xdr:col>
      <xdr:colOff>260946</xdr:colOff>
      <xdr:row>94</xdr:row>
      <xdr:rowOff>168998</xdr:rowOff>
    </xdr:to>
    <xdr:cxnSp macro="">
      <xdr:nvCxnSpPr>
        <xdr:cNvPr id="549" name="Прямая соединительная линия 548"/>
        <xdr:cNvCxnSpPr/>
      </xdr:nvCxnSpPr>
      <xdr:spPr>
        <a:xfrm>
          <a:off x="10326420" y="17828057"/>
          <a:ext cx="297726" cy="24794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260946</xdr:colOff>
      <xdr:row>94</xdr:row>
      <xdr:rowOff>168998</xdr:rowOff>
    </xdr:from>
    <xdr:to>
      <xdr:col>17</xdr:col>
      <xdr:colOff>488797</xdr:colOff>
      <xdr:row>96</xdr:row>
      <xdr:rowOff>62076</xdr:rowOff>
    </xdr:to>
    <xdr:cxnSp macro="">
      <xdr:nvCxnSpPr>
        <xdr:cNvPr id="550" name="Прямая соединительная линия 549"/>
        <xdr:cNvCxnSpPr/>
      </xdr:nvCxnSpPr>
      <xdr:spPr>
        <a:xfrm>
          <a:off x="10624146" y="18075998"/>
          <a:ext cx="227851" cy="274078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488797</xdr:colOff>
      <xdr:row>96</xdr:row>
      <xdr:rowOff>62076</xdr:rowOff>
    </xdr:from>
    <xdr:to>
      <xdr:col>18</xdr:col>
      <xdr:colOff>24904</xdr:colOff>
      <xdr:row>97</xdr:row>
      <xdr:rowOff>148856</xdr:rowOff>
    </xdr:to>
    <xdr:cxnSp macro="">
      <xdr:nvCxnSpPr>
        <xdr:cNvPr id="551" name="Прямая соединительная линия 550"/>
        <xdr:cNvCxnSpPr/>
      </xdr:nvCxnSpPr>
      <xdr:spPr>
        <a:xfrm>
          <a:off x="10851997" y="18350076"/>
          <a:ext cx="145707" cy="27728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24904</xdr:colOff>
      <xdr:row>97</xdr:row>
      <xdr:rowOff>148856</xdr:rowOff>
    </xdr:from>
    <xdr:to>
      <xdr:col>18</xdr:col>
      <xdr:colOff>76200</xdr:colOff>
      <xdr:row>99</xdr:row>
      <xdr:rowOff>25400</xdr:rowOff>
    </xdr:to>
    <xdr:cxnSp macro="">
      <xdr:nvCxnSpPr>
        <xdr:cNvPr id="552" name="Прямая соединительная линия 551"/>
        <xdr:cNvCxnSpPr/>
      </xdr:nvCxnSpPr>
      <xdr:spPr>
        <a:xfrm>
          <a:off x="10997704" y="18627356"/>
          <a:ext cx="51296" cy="257544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247650</xdr:colOff>
      <xdr:row>4</xdr:row>
      <xdr:rowOff>85725</xdr:rowOff>
    </xdr:from>
    <xdr:to>
      <xdr:col>21</xdr:col>
      <xdr:colOff>133350</xdr:colOff>
      <xdr:row>29</xdr:row>
      <xdr:rowOff>57150</xdr:rowOff>
    </xdr:to>
    <xdr:pic>
      <xdr:nvPicPr>
        <xdr:cNvPr id="2" name="Рисунок 1" descr="cavaloLine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96125" y="847725"/>
          <a:ext cx="5981700" cy="4733925"/>
        </a:xfrm>
        <a:prstGeom prst="rect">
          <a:avLst/>
        </a:prstGeom>
      </xdr:spPr>
    </xdr:pic>
    <xdr:clientData/>
  </xdr:twoCellAnchor>
  <xdr:twoCellAnchor>
    <xdr:from>
      <xdr:col>9</xdr:col>
      <xdr:colOff>149225</xdr:colOff>
      <xdr:row>24</xdr:row>
      <xdr:rowOff>0</xdr:rowOff>
    </xdr:from>
    <xdr:to>
      <xdr:col>9</xdr:col>
      <xdr:colOff>325818</xdr:colOff>
      <xdr:row>24</xdr:row>
      <xdr:rowOff>26098</xdr:rowOff>
    </xdr:to>
    <xdr:cxnSp macro="">
      <xdr:nvCxnSpPr>
        <xdr:cNvPr id="684" name="Прямая соединительная линия 683"/>
        <xdr:cNvCxnSpPr/>
      </xdr:nvCxnSpPr>
      <xdr:spPr>
        <a:xfrm>
          <a:off x="5778500" y="4572000"/>
          <a:ext cx="176593" cy="2609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325818</xdr:colOff>
      <xdr:row>24</xdr:row>
      <xdr:rowOff>26098</xdr:rowOff>
    </xdr:from>
    <xdr:to>
      <xdr:col>9</xdr:col>
      <xdr:colOff>510413</xdr:colOff>
      <xdr:row>24</xdr:row>
      <xdr:rowOff>94488</xdr:rowOff>
    </xdr:to>
    <xdr:cxnSp macro="">
      <xdr:nvCxnSpPr>
        <xdr:cNvPr id="685" name="Прямая соединительная линия 684"/>
        <xdr:cNvCxnSpPr/>
      </xdr:nvCxnSpPr>
      <xdr:spPr>
        <a:xfrm>
          <a:off x="5955093" y="4598098"/>
          <a:ext cx="184595" cy="68390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510413</xdr:colOff>
      <xdr:row>24</xdr:row>
      <xdr:rowOff>94488</xdr:rowOff>
    </xdr:from>
    <xdr:to>
      <xdr:col>10</xdr:col>
      <xdr:colOff>89979</xdr:colOff>
      <xdr:row>24</xdr:row>
      <xdr:rowOff>190309</xdr:rowOff>
    </xdr:to>
    <xdr:cxnSp macro="">
      <xdr:nvCxnSpPr>
        <xdr:cNvPr id="686" name="Прямая соединительная линия 685"/>
        <xdr:cNvCxnSpPr/>
      </xdr:nvCxnSpPr>
      <xdr:spPr>
        <a:xfrm>
          <a:off x="6139688" y="4666488"/>
          <a:ext cx="189166" cy="9582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89979</xdr:colOff>
      <xdr:row>24</xdr:row>
      <xdr:rowOff>190309</xdr:rowOff>
    </xdr:from>
    <xdr:to>
      <xdr:col>10</xdr:col>
      <xdr:colOff>280289</xdr:colOff>
      <xdr:row>25</xdr:row>
      <xdr:rowOff>108203</xdr:rowOff>
    </xdr:to>
    <xdr:cxnSp macro="">
      <xdr:nvCxnSpPr>
        <xdr:cNvPr id="687" name="Прямая соединительная линия 686"/>
        <xdr:cNvCxnSpPr/>
      </xdr:nvCxnSpPr>
      <xdr:spPr>
        <a:xfrm>
          <a:off x="6328854" y="4762309"/>
          <a:ext cx="190310" cy="108394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280289</xdr:colOff>
      <xdr:row>25</xdr:row>
      <xdr:rowOff>108203</xdr:rowOff>
    </xdr:from>
    <xdr:to>
      <xdr:col>10</xdr:col>
      <xdr:colOff>468312</xdr:colOff>
      <xdr:row>26</xdr:row>
      <xdr:rowOff>23812</xdr:rowOff>
    </xdr:to>
    <xdr:cxnSp macro="">
      <xdr:nvCxnSpPr>
        <xdr:cNvPr id="688" name="Прямая соединительная линия 687"/>
        <xdr:cNvCxnSpPr/>
      </xdr:nvCxnSpPr>
      <xdr:spPr>
        <a:xfrm>
          <a:off x="6519164" y="4870703"/>
          <a:ext cx="188023" cy="10610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468312</xdr:colOff>
      <xdr:row>26</xdr:row>
      <xdr:rowOff>23812</xdr:rowOff>
    </xdr:from>
    <xdr:to>
      <xdr:col>11</xdr:col>
      <xdr:colOff>41020</xdr:colOff>
      <xdr:row>26</xdr:row>
      <xdr:rowOff>112776</xdr:rowOff>
    </xdr:to>
    <xdr:cxnSp macro="">
      <xdr:nvCxnSpPr>
        <xdr:cNvPr id="689" name="Прямая соединительная линия 688"/>
        <xdr:cNvCxnSpPr/>
      </xdr:nvCxnSpPr>
      <xdr:spPr>
        <a:xfrm>
          <a:off x="6707187" y="4976812"/>
          <a:ext cx="182308" cy="88964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41020</xdr:colOff>
      <xdr:row>26</xdr:row>
      <xdr:rowOff>112776</xdr:rowOff>
    </xdr:from>
    <xdr:to>
      <xdr:col>11</xdr:col>
      <xdr:colOff>214185</xdr:colOff>
      <xdr:row>26</xdr:row>
      <xdr:rowOff>169735</xdr:rowOff>
    </xdr:to>
    <xdr:cxnSp macro="">
      <xdr:nvCxnSpPr>
        <xdr:cNvPr id="690" name="Прямая соединительная линия 689"/>
        <xdr:cNvCxnSpPr/>
      </xdr:nvCxnSpPr>
      <xdr:spPr>
        <a:xfrm>
          <a:off x="6889495" y="5065776"/>
          <a:ext cx="173165" cy="5695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214185</xdr:colOff>
      <xdr:row>26</xdr:row>
      <xdr:rowOff>169735</xdr:rowOff>
    </xdr:from>
    <xdr:to>
      <xdr:col>11</xdr:col>
      <xdr:colOff>374777</xdr:colOff>
      <xdr:row>26</xdr:row>
      <xdr:rowOff>179832</xdr:rowOff>
    </xdr:to>
    <xdr:cxnSp macro="">
      <xdr:nvCxnSpPr>
        <xdr:cNvPr id="691" name="Прямая соединительная линия 690"/>
        <xdr:cNvCxnSpPr/>
      </xdr:nvCxnSpPr>
      <xdr:spPr>
        <a:xfrm>
          <a:off x="7062660" y="5122735"/>
          <a:ext cx="160592" cy="10097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374777</xdr:colOff>
      <xdr:row>26</xdr:row>
      <xdr:rowOff>128206</xdr:rowOff>
    </xdr:from>
    <xdr:to>
      <xdr:col>11</xdr:col>
      <xdr:colOff>519366</xdr:colOff>
      <xdr:row>26</xdr:row>
      <xdr:rowOff>179832</xdr:rowOff>
    </xdr:to>
    <xdr:cxnSp macro="">
      <xdr:nvCxnSpPr>
        <xdr:cNvPr id="692" name="Прямая соединительная линия 691"/>
        <xdr:cNvCxnSpPr/>
      </xdr:nvCxnSpPr>
      <xdr:spPr>
        <a:xfrm flipV="1">
          <a:off x="7223252" y="5081206"/>
          <a:ext cx="144589" cy="5162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519366</xdr:colOff>
      <xdr:row>26</xdr:row>
      <xdr:rowOff>0</xdr:rowOff>
    </xdr:from>
    <xdr:to>
      <xdr:col>12</xdr:col>
      <xdr:colOff>34925</xdr:colOff>
      <xdr:row>26</xdr:row>
      <xdr:rowOff>128206</xdr:rowOff>
    </xdr:to>
    <xdr:cxnSp macro="">
      <xdr:nvCxnSpPr>
        <xdr:cNvPr id="693" name="Прямая соединительная линия 692"/>
        <xdr:cNvCxnSpPr/>
      </xdr:nvCxnSpPr>
      <xdr:spPr>
        <a:xfrm flipV="1">
          <a:off x="7367841" y="4953000"/>
          <a:ext cx="125159" cy="128206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34925</xdr:colOff>
      <xdr:row>23</xdr:row>
      <xdr:rowOff>50291</xdr:rowOff>
    </xdr:from>
    <xdr:to>
      <xdr:col>12</xdr:col>
      <xdr:colOff>439546</xdr:colOff>
      <xdr:row>26</xdr:row>
      <xdr:rowOff>0</xdr:rowOff>
    </xdr:to>
    <xdr:cxnSp macro="">
      <xdr:nvCxnSpPr>
        <xdr:cNvPr id="694" name="Прямая соединительная линия 693"/>
        <xdr:cNvCxnSpPr/>
      </xdr:nvCxnSpPr>
      <xdr:spPr>
        <a:xfrm flipV="1">
          <a:off x="7493000" y="4431791"/>
          <a:ext cx="404621" cy="521209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439546</xdr:colOff>
      <xdr:row>21</xdr:row>
      <xdr:rowOff>6096</xdr:rowOff>
    </xdr:from>
    <xdr:to>
      <xdr:col>13</xdr:col>
      <xdr:colOff>239141</xdr:colOff>
      <xdr:row>23</xdr:row>
      <xdr:rowOff>50291</xdr:rowOff>
    </xdr:to>
    <xdr:cxnSp macro="">
      <xdr:nvCxnSpPr>
        <xdr:cNvPr id="695" name="Прямая соединительная линия 694"/>
        <xdr:cNvCxnSpPr/>
      </xdr:nvCxnSpPr>
      <xdr:spPr>
        <a:xfrm flipV="1">
          <a:off x="7897621" y="4006596"/>
          <a:ext cx="409195" cy="425195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239141</xdr:colOff>
      <xdr:row>19</xdr:row>
      <xdr:rowOff>51053</xdr:rowOff>
    </xdr:from>
    <xdr:to>
      <xdr:col>14</xdr:col>
      <xdr:colOff>36448</xdr:colOff>
      <xdr:row>21</xdr:row>
      <xdr:rowOff>6096</xdr:rowOff>
    </xdr:to>
    <xdr:cxnSp macro="">
      <xdr:nvCxnSpPr>
        <xdr:cNvPr id="696" name="Прямая соединительная линия 695"/>
        <xdr:cNvCxnSpPr/>
      </xdr:nvCxnSpPr>
      <xdr:spPr>
        <a:xfrm flipV="1">
          <a:off x="8306816" y="3670553"/>
          <a:ext cx="406907" cy="336043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36448</xdr:colOff>
      <xdr:row>17</xdr:row>
      <xdr:rowOff>178308</xdr:rowOff>
    </xdr:from>
    <xdr:to>
      <xdr:col>14</xdr:col>
      <xdr:colOff>434213</xdr:colOff>
      <xdr:row>19</xdr:row>
      <xdr:rowOff>51053</xdr:rowOff>
    </xdr:to>
    <xdr:cxnSp macro="">
      <xdr:nvCxnSpPr>
        <xdr:cNvPr id="697" name="Прямая соединительная линия 696"/>
        <xdr:cNvCxnSpPr/>
      </xdr:nvCxnSpPr>
      <xdr:spPr>
        <a:xfrm flipV="1">
          <a:off x="8713723" y="3416808"/>
          <a:ext cx="397765" cy="253745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434213</xdr:colOff>
      <xdr:row>17</xdr:row>
      <xdr:rowOff>0</xdr:rowOff>
    </xdr:from>
    <xdr:to>
      <xdr:col>15</xdr:col>
      <xdr:colOff>206375</xdr:colOff>
      <xdr:row>17</xdr:row>
      <xdr:rowOff>178308</xdr:rowOff>
    </xdr:to>
    <xdr:cxnSp macro="">
      <xdr:nvCxnSpPr>
        <xdr:cNvPr id="698" name="Прямая соединительная линия 697"/>
        <xdr:cNvCxnSpPr/>
      </xdr:nvCxnSpPr>
      <xdr:spPr>
        <a:xfrm flipV="1">
          <a:off x="9111488" y="3238500"/>
          <a:ext cx="381762" cy="178308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206375</xdr:colOff>
      <xdr:row>16</xdr:row>
      <xdr:rowOff>80772</xdr:rowOff>
    </xdr:from>
    <xdr:to>
      <xdr:col>15</xdr:col>
      <xdr:colOff>565277</xdr:colOff>
      <xdr:row>17</xdr:row>
      <xdr:rowOff>0</xdr:rowOff>
    </xdr:to>
    <xdr:cxnSp macro="">
      <xdr:nvCxnSpPr>
        <xdr:cNvPr id="699" name="Прямая соединительная линия 698"/>
        <xdr:cNvCxnSpPr/>
      </xdr:nvCxnSpPr>
      <xdr:spPr>
        <a:xfrm flipV="1">
          <a:off x="9493250" y="3128772"/>
          <a:ext cx="358902" cy="109728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565277</xdr:colOff>
      <xdr:row>16</xdr:row>
      <xdr:rowOff>32766</xdr:rowOff>
    </xdr:from>
    <xdr:to>
      <xdr:col>16</xdr:col>
      <xdr:colOff>284860</xdr:colOff>
      <xdr:row>16</xdr:row>
      <xdr:rowOff>80772</xdr:rowOff>
    </xdr:to>
    <xdr:cxnSp macro="">
      <xdr:nvCxnSpPr>
        <xdr:cNvPr id="700" name="Прямая соединительная линия 699"/>
        <xdr:cNvCxnSpPr/>
      </xdr:nvCxnSpPr>
      <xdr:spPr>
        <a:xfrm flipV="1">
          <a:off x="9852152" y="3080766"/>
          <a:ext cx="329183" cy="48006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284860</xdr:colOff>
      <xdr:row>16</xdr:row>
      <xdr:rowOff>32766</xdr:rowOff>
    </xdr:from>
    <xdr:to>
      <xdr:col>16</xdr:col>
      <xdr:colOff>577468</xdr:colOff>
      <xdr:row>16</xdr:row>
      <xdr:rowOff>39623</xdr:rowOff>
    </xdr:to>
    <xdr:cxnSp macro="">
      <xdr:nvCxnSpPr>
        <xdr:cNvPr id="701" name="Прямая соединительная линия 700"/>
        <xdr:cNvCxnSpPr/>
      </xdr:nvCxnSpPr>
      <xdr:spPr>
        <a:xfrm>
          <a:off x="10181335" y="3080766"/>
          <a:ext cx="292608" cy="6857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577468</xdr:colOff>
      <xdr:row>16</xdr:row>
      <xdr:rowOff>39623</xdr:rowOff>
    </xdr:from>
    <xdr:to>
      <xdr:col>17</xdr:col>
      <xdr:colOff>217043</xdr:colOff>
      <xdr:row>16</xdr:row>
      <xdr:rowOff>94488</xdr:rowOff>
    </xdr:to>
    <xdr:cxnSp macro="">
      <xdr:nvCxnSpPr>
        <xdr:cNvPr id="702" name="Прямая соединительная линия 701"/>
        <xdr:cNvCxnSpPr/>
      </xdr:nvCxnSpPr>
      <xdr:spPr>
        <a:xfrm>
          <a:off x="10473943" y="3087623"/>
          <a:ext cx="249175" cy="54865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217043</xdr:colOff>
      <xdr:row>16</xdr:row>
      <xdr:rowOff>94488</xdr:rowOff>
    </xdr:from>
    <xdr:to>
      <xdr:col>17</xdr:col>
      <xdr:colOff>415925</xdr:colOff>
      <xdr:row>17</xdr:row>
      <xdr:rowOff>0</xdr:rowOff>
    </xdr:to>
    <xdr:cxnSp macro="">
      <xdr:nvCxnSpPr>
        <xdr:cNvPr id="703" name="Прямая соединительная линия 702"/>
        <xdr:cNvCxnSpPr/>
      </xdr:nvCxnSpPr>
      <xdr:spPr>
        <a:xfrm>
          <a:off x="10723118" y="3142488"/>
          <a:ext cx="198882" cy="96012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415925</xdr:colOff>
      <xdr:row>17</xdr:row>
      <xdr:rowOff>0</xdr:rowOff>
    </xdr:from>
    <xdr:to>
      <xdr:col>17</xdr:col>
      <xdr:colOff>492125</xdr:colOff>
      <xdr:row>17</xdr:row>
      <xdr:rowOff>52006</xdr:rowOff>
    </xdr:to>
    <xdr:cxnSp macro="">
      <xdr:nvCxnSpPr>
        <xdr:cNvPr id="704" name="Прямая соединительная линия 703"/>
        <xdr:cNvCxnSpPr/>
      </xdr:nvCxnSpPr>
      <xdr:spPr>
        <a:xfrm>
          <a:off x="10922000" y="3238500"/>
          <a:ext cx="76200" cy="5200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492125</xdr:colOff>
      <xdr:row>17</xdr:row>
      <xdr:rowOff>52006</xdr:rowOff>
    </xdr:from>
    <xdr:to>
      <xdr:col>17</xdr:col>
      <xdr:colOff>499744</xdr:colOff>
      <xdr:row>17</xdr:row>
      <xdr:rowOff>96011</xdr:rowOff>
    </xdr:to>
    <xdr:cxnSp macro="">
      <xdr:nvCxnSpPr>
        <xdr:cNvPr id="705" name="Прямая соединительная линия 704"/>
        <xdr:cNvCxnSpPr/>
      </xdr:nvCxnSpPr>
      <xdr:spPr>
        <a:xfrm>
          <a:off x="10998200" y="3290506"/>
          <a:ext cx="7619" cy="44005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450215</xdr:colOff>
      <xdr:row>17</xdr:row>
      <xdr:rowOff>96011</xdr:rowOff>
    </xdr:from>
    <xdr:to>
      <xdr:col>17</xdr:col>
      <xdr:colOff>499744</xdr:colOff>
      <xdr:row>17</xdr:row>
      <xdr:rowOff>135445</xdr:rowOff>
    </xdr:to>
    <xdr:cxnSp macro="">
      <xdr:nvCxnSpPr>
        <xdr:cNvPr id="706" name="Прямая соединительная линия 705"/>
        <xdr:cNvCxnSpPr/>
      </xdr:nvCxnSpPr>
      <xdr:spPr>
        <a:xfrm flipH="1">
          <a:off x="10956290" y="3334511"/>
          <a:ext cx="49529" cy="3943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354965</xdr:colOff>
      <xdr:row>17</xdr:row>
      <xdr:rowOff>135445</xdr:rowOff>
    </xdr:from>
    <xdr:to>
      <xdr:col>17</xdr:col>
      <xdr:colOff>450215</xdr:colOff>
      <xdr:row>17</xdr:row>
      <xdr:rowOff>173735</xdr:rowOff>
    </xdr:to>
    <xdr:cxnSp macro="">
      <xdr:nvCxnSpPr>
        <xdr:cNvPr id="707" name="Прямая соединительная линия 706"/>
        <xdr:cNvCxnSpPr/>
      </xdr:nvCxnSpPr>
      <xdr:spPr>
        <a:xfrm flipH="1">
          <a:off x="10861040" y="3373945"/>
          <a:ext cx="95250" cy="38290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225425</xdr:colOff>
      <xdr:row>17</xdr:row>
      <xdr:rowOff>173735</xdr:rowOff>
    </xdr:from>
    <xdr:to>
      <xdr:col>17</xdr:col>
      <xdr:colOff>354965</xdr:colOff>
      <xdr:row>18</xdr:row>
      <xdr:rowOff>23812</xdr:rowOff>
    </xdr:to>
    <xdr:cxnSp macro="">
      <xdr:nvCxnSpPr>
        <xdr:cNvPr id="708" name="Прямая соединительная линия 707"/>
        <xdr:cNvCxnSpPr/>
      </xdr:nvCxnSpPr>
      <xdr:spPr>
        <a:xfrm flipH="1">
          <a:off x="10731500" y="3412235"/>
          <a:ext cx="129540" cy="4057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73025</xdr:colOff>
      <xdr:row>18</xdr:row>
      <xdr:rowOff>23812</xdr:rowOff>
    </xdr:from>
    <xdr:to>
      <xdr:col>17</xdr:col>
      <xdr:colOff>225425</xdr:colOff>
      <xdr:row>18</xdr:row>
      <xdr:rowOff>70103</xdr:rowOff>
    </xdr:to>
    <xdr:cxnSp macro="">
      <xdr:nvCxnSpPr>
        <xdr:cNvPr id="709" name="Прямая соединительная линия 708"/>
        <xdr:cNvCxnSpPr/>
      </xdr:nvCxnSpPr>
      <xdr:spPr>
        <a:xfrm flipH="1">
          <a:off x="10579100" y="3452812"/>
          <a:ext cx="152400" cy="46291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518794</xdr:colOff>
      <xdr:row>18</xdr:row>
      <xdr:rowOff>70103</xdr:rowOff>
    </xdr:from>
    <xdr:to>
      <xdr:col>17</xdr:col>
      <xdr:colOff>73025</xdr:colOff>
      <xdr:row>18</xdr:row>
      <xdr:rowOff>125539</xdr:rowOff>
    </xdr:to>
    <xdr:cxnSp macro="">
      <xdr:nvCxnSpPr>
        <xdr:cNvPr id="710" name="Прямая соединительная линия 709"/>
        <xdr:cNvCxnSpPr/>
      </xdr:nvCxnSpPr>
      <xdr:spPr>
        <a:xfrm flipH="1">
          <a:off x="10415269" y="3499103"/>
          <a:ext cx="163831" cy="5543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354965</xdr:colOff>
      <xdr:row>18</xdr:row>
      <xdr:rowOff>125539</xdr:rowOff>
    </xdr:from>
    <xdr:to>
      <xdr:col>16</xdr:col>
      <xdr:colOff>518794</xdr:colOff>
      <xdr:row>19</xdr:row>
      <xdr:rowOff>3047</xdr:rowOff>
    </xdr:to>
    <xdr:cxnSp macro="">
      <xdr:nvCxnSpPr>
        <xdr:cNvPr id="711" name="Прямая соединительная линия 710"/>
        <xdr:cNvCxnSpPr/>
      </xdr:nvCxnSpPr>
      <xdr:spPr>
        <a:xfrm flipH="1">
          <a:off x="10251440" y="3554539"/>
          <a:ext cx="163829" cy="68008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202565</xdr:colOff>
      <xdr:row>19</xdr:row>
      <xdr:rowOff>3047</xdr:rowOff>
    </xdr:from>
    <xdr:to>
      <xdr:col>16</xdr:col>
      <xdr:colOff>354965</xdr:colOff>
      <xdr:row>19</xdr:row>
      <xdr:rowOff>87058</xdr:rowOff>
    </xdr:to>
    <xdr:cxnSp macro="">
      <xdr:nvCxnSpPr>
        <xdr:cNvPr id="712" name="Прямая соединительная линия 711"/>
        <xdr:cNvCxnSpPr/>
      </xdr:nvCxnSpPr>
      <xdr:spPr>
        <a:xfrm flipH="1">
          <a:off x="10099040" y="3622547"/>
          <a:ext cx="152400" cy="8401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73025</xdr:colOff>
      <xdr:row>19</xdr:row>
      <xdr:rowOff>87058</xdr:rowOff>
    </xdr:from>
    <xdr:to>
      <xdr:col>16</xdr:col>
      <xdr:colOff>202565</xdr:colOff>
      <xdr:row>20</xdr:row>
      <xdr:rowOff>0</xdr:rowOff>
    </xdr:to>
    <xdr:cxnSp macro="">
      <xdr:nvCxnSpPr>
        <xdr:cNvPr id="713" name="Прямая соединительная линия 712"/>
        <xdr:cNvCxnSpPr/>
      </xdr:nvCxnSpPr>
      <xdr:spPr>
        <a:xfrm flipH="1">
          <a:off x="9969500" y="3706558"/>
          <a:ext cx="129540" cy="103442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594804</xdr:colOff>
      <xdr:row>20</xdr:row>
      <xdr:rowOff>0</xdr:rowOff>
    </xdr:from>
    <xdr:to>
      <xdr:col>16</xdr:col>
      <xdr:colOff>73025</xdr:colOff>
      <xdr:row>20</xdr:row>
      <xdr:rowOff>125539</xdr:rowOff>
    </xdr:to>
    <xdr:cxnSp macro="">
      <xdr:nvCxnSpPr>
        <xdr:cNvPr id="714" name="Прямая соединительная линия 713"/>
        <xdr:cNvCxnSpPr/>
      </xdr:nvCxnSpPr>
      <xdr:spPr>
        <a:xfrm flipH="1">
          <a:off x="9881679" y="3810000"/>
          <a:ext cx="87821" cy="125539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551560</xdr:colOff>
      <xdr:row>20</xdr:row>
      <xdr:rowOff>125539</xdr:rowOff>
    </xdr:from>
    <xdr:to>
      <xdr:col>15</xdr:col>
      <xdr:colOff>594804</xdr:colOff>
      <xdr:row>21</xdr:row>
      <xdr:rowOff>82296</xdr:rowOff>
    </xdr:to>
    <xdr:cxnSp macro="">
      <xdr:nvCxnSpPr>
        <xdr:cNvPr id="715" name="Прямая соединительная линия 714"/>
        <xdr:cNvCxnSpPr/>
      </xdr:nvCxnSpPr>
      <xdr:spPr>
        <a:xfrm flipH="1">
          <a:off x="9838435" y="3935539"/>
          <a:ext cx="43244" cy="147257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540321</xdr:colOff>
      <xdr:row>21</xdr:row>
      <xdr:rowOff>82296</xdr:rowOff>
    </xdr:from>
    <xdr:to>
      <xdr:col>15</xdr:col>
      <xdr:colOff>551560</xdr:colOff>
      <xdr:row>22</xdr:row>
      <xdr:rowOff>59626</xdr:rowOff>
    </xdr:to>
    <xdr:cxnSp macro="">
      <xdr:nvCxnSpPr>
        <xdr:cNvPr id="716" name="Прямая соединительная линия 715"/>
        <xdr:cNvCxnSpPr/>
      </xdr:nvCxnSpPr>
      <xdr:spPr>
        <a:xfrm flipH="1">
          <a:off x="9827196" y="4082796"/>
          <a:ext cx="11239" cy="167830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540321</xdr:colOff>
      <xdr:row>22</xdr:row>
      <xdr:rowOff>59626</xdr:rowOff>
    </xdr:from>
    <xdr:to>
      <xdr:col>15</xdr:col>
      <xdr:colOff>548513</xdr:colOff>
      <xdr:row>23</xdr:row>
      <xdr:rowOff>56388</xdr:rowOff>
    </xdr:to>
    <xdr:cxnSp macro="">
      <xdr:nvCxnSpPr>
        <xdr:cNvPr id="717" name="Прямая соединительная линия 716"/>
        <xdr:cNvCxnSpPr/>
      </xdr:nvCxnSpPr>
      <xdr:spPr>
        <a:xfrm>
          <a:off x="9827196" y="4250626"/>
          <a:ext cx="8192" cy="187262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548513</xdr:colOff>
      <xdr:row>23</xdr:row>
      <xdr:rowOff>56388</xdr:rowOff>
    </xdr:from>
    <xdr:to>
      <xdr:col>15</xdr:col>
      <xdr:colOff>563562</xdr:colOff>
      <xdr:row>24</xdr:row>
      <xdr:rowOff>71437</xdr:rowOff>
    </xdr:to>
    <xdr:cxnSp macro="">
      <xdr:nvCxnSpPr>
        <xdr:cNvPr id="718" name="Прямая соединительная линия 717"/>
        <xdr:cNvCxnSpPr/>
      </xdr:nvCxnSpPr>
      <xdr:spPr>
        <a:xfrm>
          <a:off x="9835388" y="4437888"/>
          <a:ext cx="15049" cy="205549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563562</xdr:colOff>
      <xdr:row>24</xdr:row>
      <xdr:rowOff>71437</xdr:rowOff>
    </xdr:from>
    <xdr:to>
      <xdr:col>15</xdr:col>
      <xdr:colOff>572896</xdr:colOff>
      <xdr:row>25</xdr:row>
      <xdr:rowOff>103632</xdr:rowOff>
    </xdr:to>
    <xdr:cxnSp macro="">
      <xdr:nvCxnSpPr>
        <xdr:cNvPr id="719" name="Прямая соединительная линия 718"/>
        <xdr:cNvCxnSpPr/>
      </xdr:nvCxnSpPr>
      <xdr:spPr>
        <a:xfrm>
          <a:off x="9850437" y="4643437"/>
          <a:ext cx="9334" cy="22269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563943</xdr:colOff>
      <xdr:row>25</xdr:row>
      <xdr:rowOff>103632</xdr:rowOff>
    </xdr:from>
    <xdr:to>
      <xdr:col>15</xdr:col>
      <xdr:colOff>572896</xdr:colOff>
      <xdr:row>26</xdr:row>
      <xdr:rowOff>151828</xdr:rowOff>
    </xdr:to>
    <xdr:cxnSp macro="">
      <xdr:nvCxnSpPr>
        <xdr:cNvPr id="720" name="Прямая соединительная линия 719"/>
        <xdr:cNvCxnSpPr/>
      </xdr:nvCxnSpPr>
      <xdr:spPr>
        <a:xfrm flipH="1">
          <a:off x="9850818" y="4866132"/>
          <a:ext cx="8953" cy="238696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524129</xdr:colOff>
      <xdr:row>26</xdr:row>
      <xdr:rowOff>151828</xdr:rowOff>
    </xdr:from>
    <xdr:to>
      <xdr:col>15</xdr:col>
      <xdr:colOff>563943</xdr:colOff>
      <xdr:row>28</xdr:row>
      <xdr:rowOff>24384</xdr:rowOff>
    </xdr:to>
    <xdr:cxnSp macro="">
      <xdr:nvCxnSpPr>
        <xdr:cNvPr id="721" name="Прямая соединительная линия 720"/>
        <xdr:cNvCxnSpPr/>
      </xdr:nvCxnSpPr>
      <xdr:spPr>
        <a:xfrm flipH="1">
          <a:off x="9811004" y="5104828"/>
          <a:ext cx="39814" cy="25355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440880</xdr:colOff>
      <xdr:row>28</xdr:row>
      <xdr:rowOff>24384</xdr:rowOff>
    </xdr:from>
    <xdr:to>
      <xdr:col>15</xdr:col>
      <xdr:colOff>524129</xdr:colOff>
      <xdr:row>29</xdr:row>
      <xdr:rowOff>101155</xdr:rowOff>
    </xdr:to>
    <xdr:cxnSp macro="">
      <xdr:nvCxnSpPr>
        <xdr:cNvPr id="722" name="Прямая соединительная линия 721"/>
        <xdr:cNvCxnSpPr/>
      </xdr:nvCxnSpPr>
      <xdr:spPr>
        <a:xfrm flipH="1">
          <a:off x="9727755" y="5358384"/>
          <a:ext cx="83249" cy="267271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301625</xdr:colOff>
      <xdr:row>29</xdr:row>
      <xdr:rowOff>101155</xdr:rowOff>
    </xdr:from>
    <xdr:to>
      <xdr:col>15</xdr:col>
      <xdr:colOff>440880</xdr:colOff>
      <xdr:row>31</xdr:row>
      <xdr:rowOff>0</xdr:rowOff>
    </xdr:to>
    <xdr:cxnSp macro="">
      <xdr:nvCxnSpPr>
        <xdr:cNvPr id="723" name="Прямая соединительная линия 722"/>
        <xdr:cNvCxnSpPr/>
      </xdr:nvCxnSpPr>
      <xdr:spPr>
        <a:xfrm flipH="1">
          <a:off x="9588500" y="5625655"/>
          <a:ext cx="139255" cy="27984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301625</xdr:colOff>
      <xdr:row>31</xdr:row>
      <xdr:rowOff>0</xdr:rowOff>
    </xdr:from>
    <xdr:to>
      <xdr:col>15</xdr:col>
      <xdr:colOff>364299</xdr:colOff>
      <xdr:row>31</xdr:row>
      <xdr:rowOff>108584</xdr:rowOff>
    </xdr:to>
    <xdr:cxnSp macro="">
      <xdr:nvCxnSpPr>
        <xdr:cNvPr id="724" name="Прямая соединительная линия 723"/>
        <xdr:cNvCxnSpPr/>
      </xdr:nvCxnSpPr>
      <xdr:spPr>
        <a:xfrm>
          <a:off x="9588500" y="5905500"/>
          <a:ext cx="62674" cy="1085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364299</xdr:colOff>
      <xdr:row>31</xdr:row>
      <xdr:rowOff>108584</xdr:rowOff>
    </xdr:from>
    <xdr:to>
      <xdr:col>15</xdr:col>
      <xdr:colOff>437260</xdr:colOff>
      <xdr:row>32</xdr:row>
      <xdr:rowOff>15240</xdr:rowOff>
    </xdr:to>
    <xdr:cxnSp macro="">
      <xdr:nvCxnSpPr>
        <xdr:cNvPr id="725" name="Прямая соединительная линия 724"/>
        <xdr:cNvCxnSpPr/>
      </xdr:nvCxnSpPr>
      <xdr:spPr>
        <a:xfrm>
          <a:off x="9651174" y="6014084"/>
          <a:ext cx="72961" cy="97156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437260</xdr:colOff>
      <xdr:row>32</xdr:row>
      <xdr:rowOff>15240</xdr:rowOff>
    </xdr:from>
    <xdr:to>
      <xdr:col>15</xdr:col>
      <xdr:colOff>519366</xdr:colOff>
      <xdr:row>32</xdr:row>
      <xdr:rowOff>100965</xdr:rowOff>
    </xdr:to>
    <xdr:cxnSp macro="">
      <xdr:nvCxnSpPr>
        <xdr:cNvPr id="726" name="Прямая соединительная линия 725"/>
        <xdr:cNvCxnSpPr/>
      </xdr:nvCxnSpPr>
      <xdr:spPr>
        <a:xfrm>
          <a:off x="9724135" y="6111240"/>
          <a:ext cx="82106" cy="8572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519366</xdr:colOff>
      <xdr:row>32</xdr:row>
      <xdr:rowOff>100965</xdr:rowOff>
    </xdr:from>
    <xdr:to>
      <xdr:col>15</xdr:col>
      <xdr:colOff>609472</xdr:colOff>
      <xdr:row>32</xdr:row>
      <xdr:rowOff>175259</xdr:rowOff>
    </xdr:to>
    <xdr:cxnSp macro="">
      <xdr:nvCxnSpPr>
        <xdr:cNvPr id="727" name="Прямая соединительная линия 726"/>
        <xdr:cNvCxnSpPr/>
      </xdr:nvCxnSpPr>
      <xdr:spPr>
        <a:xfrm>
          <a:off x="9806241" y="6196965"/>
          <a:ext cx="90106" cy="74294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609472</xdr:colOff>
      <xdr:row>32</xdr:row>
      <xdr:rowOff>175259</xdr:rowOff>
    </xdr:from>
    <xdr:to>
      <xdr:col>16</xdr:col>
      <xdr:colOff>96837</xdr:colOff>
      <xdr:row>33</xdr:row>
      <xdr:rowOff>47625</xdr:rowOff>
    </xdr:to>
    <xdr:cxnSp macro="">
      <xdr:nvCxnSpPr>
        <xdr:cNvPr id="728" name="Прямая соединительная линия 727"/>
        <xdr:cNvCxnSpPr/>
      </xdr:nvCxnSpPr>
      <xdr:spPr>
        <a:xfrm>
          <a:off x="9896347" y="6271259"/>
          <a:ext cx="96965" cy="6286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96837</xdr:colOff>
      <xdr:row>33</xdr:row>
      <xdr:rowOff>47625</xdr:rowOff>
    </xdr:from>
    <xdr:to>
      <xdr:col>16</xdr:col>
      <xdr:colOff>199517</xdr:colOff>
      <xdr:row>33</xdr:row>
      <xdr:rowOff>99059</xdr:rowOff>
    </xdr:to>
    <xdr:cxnSp macro="">
      <xdr:nvCxnSpPr>
        <xdr:cNvPr id="729" name="Прямая соединительная линия 728"/>
        <xdr:cNvCxnSpPr/>
      </xdr:nvCxnSpPr>
      <xdr:spPr>
        <a:xfrm>
          <a:off x="9993312" y="6334125"/>
          <a:ext cx="102680" cy="51434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199517</xdr:colOff>
      <xdr:row>33</xdr:row>
      <xdr:rowOff>99059</xdr:rowOff>
    </xdr:from>
    <xdr:to>
      <xdr:col>16</xdr:col>
      <xdr:colOff>306768</xdr:colOff>
      <xdr:row>33</xdr:row>
      <xdr:rowOff>139065</xdr:rowOff>
    </xdr:to>
    <xdr:cxnSp macro="">
      <xdr:nvCxnSpPr>
        <xdr:cNvPr id="730" name="Прямая соединительная линия 729"/>
        <xdr:cNvCxnSpPr/>
      </xdr:nvCxnSpPr>
      <xdr:spPr>
        <a:xfrm>
          <a:off x="10095992" y="6385559"/>
          <a:ext cx="107251" cy="4000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306768</xdr:colOff>
      <xdr:row>33</xdr:row>
      <xdr:rowOff>139065</xdr:rowOff>
    </xdr:from>
    <xdr:to>
      <xdr:col>16</xdr:col>
      <xdr:colOff>417448</xdr:colOff>
      <xdr:row>33</xdr:row>
      <xdr:rowOff>167640</xdr:rowOff>
    </xdr:to>
    <xdr:cxnSp macro="">
      <xdr:nvCxnSpPr>
        <xdr:cNvPr id="731" name="Прямая соединительная линия 730"/>
        <xdr:cNvCxnSpPr/>
      </xdr:nvCxnSpPr>
      <xdr:spPr>
        <a:xfrm>
          <a:off x="10203243" y="6425565"/>
          <a:ext cx="110680" cy="28575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417448</xdr:colOff>
      <xdr:row>33</xdr:row>
      <xdr:rowOff>167640</xdr:rowOff>
    </xdr:from>
    <xdr:to>
      <xdr:col>16</xdr:col>
      <xdr:colOff>530415</xdr:colOff>
      <xdr:row>33</xdr:row>
      <xdr:rowOff>184784</xdr:rowOff>
    </xdr:to>
    <xdr:cxnSp macro="">
      <xdr:nvCxnSpPr>
        <xdr:cNvPr id="732" name="Прямая соединительная линия 731"/>
        <xdr:cNvCxnSpPr/>
      </xdr:nvCxnSpPr>
      <xdr:spPr>
        <a:xfrm>
          <a:off x="10313923" y="6454140"/>
          <a:ext cx="112967" cy="1714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530415</xdr:colOff>
      <xdr:row>33</xdr:row>
      <xdr:rowOff>184784</xdr:rowOff>
    </xdr:from>
    <xdr:to>
      <xdr:col>17</xdr:col>
      <xdr:colOff>34925</xdr:colOff>
      <xdr:row>34</xdr:row>
      <xdr:rowOff>0</xdr:rowOff>
    </xdr:to>
    <xdr:cxnSp macro="">
      <xdr:nvCxnSpPr>
        <xdr:cNvPr id="733" name="Прямая соединительная линия 732"/>
        <xdr:cNvCxnSpPr/>
      </xdr:nvCxnSpPr>
      <xdr:spPr>
        <a:xfrm>
          <a:off x="10426890" y="6471284"/>
          <a:ext cx="114110" cy="5716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34925</xdr:colOff>
      <xdr:row>33</xdr:row>
      <xdr:rowOff>13715</xdr:rowOff>
    </xdr:from>
    <xdr:to>
      <xdr:col>17</xdr:col>
      <xdr:colOff>206946</xdr:colOff>
      <xdr:row>34</xdr:row>
      <xdr:rowOff>0</xdr:rowOff>
    </xdr:to>
    <xdr:cxnSp macro="">
      <xdr:nvCxnSpPr>
        <xdr:cNvPr id="734" name="Прямая соединительная линия 733"/>
        <xdr:cNvCxnSpPr/>
      </xdr:nvCxnSpPr>
      <xdr:spPr>
        <a:xfrm flipV="1">
          <a:off x="10541000" y="6300215"/>
          <a:ext cx="172021" cy="176785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206946</xdr:colOff>
      <xdr:row>32</xdr:row>
      <xdr:rowOff>18288</xdr:rowOff>
    </xdr:from>
    <xdr:to>
      <xdr:col>17</xdr:col>
      <xdr:colOff>382396</xdr:colOff>
      <xdr:row>33</xdr:row>
      <xdr:rowOff>13715</xdr:rowOff>
    </xdr:to>
    <xdr:cxnSp macro="">
      <xdr:nvCxnSpPr>
        <xdr:cNvPr id="735" name="Прямая соединительная линия 734"/>
        <xdr:cNvCxnSpPr/>
      </xdr:nvCxnSpPr>
      <xdr:spPr>
        <a:xfrm flipV="1">
          <a:off x="10713021" y="6114288"/>
          <a:ext cx="175450" cy="185927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382396</xdr:colOff>
      <xdr:row>31</xdr:row>
      <xdr:rowOff>16002</xdr:rowOff>
    </xdr:from>
    <xdr:to>
      <xdr:col>17</xdr:col>
      <xdr:colOff>564705</xdr:colOff>
      <xdr:row>32</xdr:row>
      <xdr:rowOff>18288</xdr:rowOff>
    </xdr:to>
    <xdr:cxnSp macro="">
      <xdr:nvCxnSpPr>
        <xdr:cNvPr id="736" name="Прямая соединительная линия 735"/>
        <xdr:cNvCxnSpPr/>
      </xdr:nvCxnSpPr>
      <xdr:spPr>
        <a:xfrm flipV="1">
          <a:off x="10888471" y="5921502"/>
          <a:ext cx="182309" cy="192786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564705</xdr:colOff>
      <xdr:row>30</xdr:row>
      <xdr:rowOff>9144</xdr:rowOff>
    </xdr:from>
    <xdr:to>
      <xdr:col>18</xdr:col>
      <xdr:colOff>147701</xdr:colOff>
      <xdr:row>31</xdr:row>
      <xdr:rowOff>16002</xdr:rowOff>
    </xdr:to>
    <xdr:cxnSp macro="">
      <xdr:nvCxnSpPr>
        <xdr:cNvPr id="737" name="Прямая соединительная линия 736"/>
        <xdr:cNvCxnSpPr/>
      </xdr:nvCxnSpPr>
      <xdr:spPr>
        <a:xfrm flipV="1">
          <a:off x="11070780" y="5724144"/>
          <a:ext cx="192596" cy="19735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147701</xdr:colOff>
      <xdr:row>29</xdr:row>
      <xdr:rowOff>0</xdr:rowOff>
    </xdr:from>
    <xdr:to>
      <xdr:col>18</xdr:col>
      <xdr:colOff>354012</xdr:colOff>
      <xdr:row>30</xdr:row>
      <xdr:rowOff>9144</xdr:rowOff>
    </xdr:to>
    <xdr:cxnSp macro="">
      <xdr:nvCxnSpPr>
        <xdr:cNvPr id="738" name="Прямая соединительная линия 737"/>
        <xdr:cNvCxnSpPr/>
      </xdr:nvCxnSpPr>
      <xdr:spPr>
        <a:xfrm flipV="1">
          <a:off x="11263376" y="5524500"/>
          <a:ext cx="206311" cy="199644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354012</xdr:colOff>
      <xdr:row>27</xdr:row>
      <xdr:rowOff>181355</xdr:rowOff>
    </xdr:from>
    <xdr:to>
      <xdr:col>18</xdr:col>
      <xdr:colOff>577468</xdr:colOff>
      <xdr:row>29</xdr:row>
      <xdr:rowOff>0</xdr:rowOff>
    </xdr:to>
    <xdr:cxnSp macro="">
      <xdr:nvCxnSpPr>
        <xdr:cNvPr id="739" name="Прямая соединительная линия 738"/>
        <xdr:cNvCxnSpPr/>
      </xdr:nvCxnSpPr>
      <xdr:spPr>
        <a:xfrm flipV="1">
          <a:off x="11469687" y="5324855"/>
          <a:ext cx="223456" cy="199645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577468</xdr:colOff>
      <xdr:row>26</xdr:row>
      <xdr:rowOff>174497</xdr:rowOff>
    </xdr:from>
    <xdr:to>
      <xdr:col>19</xdr:col>
      <xdr:colOff>211899</xdr:colOff>
      <xdr:row>27</xdr:row>
      <xdr:rowOff>181355</xdr:rowOff>
    </xdr:to>
    <xdr:cxnSp macro="">
      <xdr:nvCxnSpPr>
        <xdr:cNvPr id="740" name="Прямая соединительная линия 739"/>
        <xdr:cNvCxnSpPr/>
      </xdr:nvCxnSpPr>
      <xdr:spPr>
        <a:xfrm flipV="1">
          <a:off x="11693143" y="5127497"/>
          <a:ext cx="244031" cy="197358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211899</xdr:colOff>
      <xdr:row>25</xdr:row>
      <xdr:rowOff>172211</xdr:rowOff>
    </xdr:from>
    <xdr:to>
      <xdr:col>19</xdr:col>
      <xdr:colOff>479932</xdr:colOff>
      <xdr:row>26</xdr:row>
      <xdr:rowOff>174497</xdr:rowOff>
    </xdr:to>
    <xdr:cxnSp macro="">
      <xdr:nvCxnSpPr>
        <xdr:cNvPr id="741" name="Прямая соединительная линия 740"/>
        <xdr:cNvCxnSpPr/>
      </xdr:nvCxnSpPr>
      <xdr:spPr>
        <a:xfrm flipV="1">
          <a:off x="11937174" y="4934711"/>
          <a:ext cx="268033" cy="192786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479932</xdr:colOff>
      <xdr:row>24</xdr:row>
      <xdr:rowOff>176784</xdr:rowOff>
    </xdr:from>
    <xdr:to>
      <xdr:col>20</xdr:col>
      <xdr:colOff>165798</xdr:colOff>
      <xdr:row>25</xdr:row>
      <xdr:rowOff>172211</xdr:rowOff>
    </xdr:to>
    <xdr:cxnSp macro="">
      <xdr:nvCxnSpPr>
        <xdr:cNvPr id="742" name="Прямая соединительная линия 741"/>
        <xdr:cNvCxnSpPr/>
      </xdr:nvCxnSpPr>
      <xdr:spPr>
        <a:xfrm flipV="1">
          <a:off x="12205207" y="4748784"/>
          <a:ext cx="295466" cy="185927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165798</xdr:colOff>
      <xdr:row>24</xdr:row>
      <xdr:rowOff>0</xdr:rowOff>
    </xdr:from>
    <xdr:to>
      <xdr:col>20</xdr:col>
      <xdr:colOff>492125</xdr:colOff>
      <xdr:row>24</xdr:row>
      <xdr:rowOff>176784</xdr:rowOff>
    </xdr:to>
    <xdr:cxnSp macro="">
      <xdr:nvCxnSpPr>
        <xdr:cNvPr id="743" name="Прямая соединительная линия 742"/>
        <xdr:cNvCxnSpPr/>
      </xdr:nvCxnSpPr>
      <xdr:spPr>
        <a:xfrm flipV="1">
          <a:off x="12500673" y="4572000"/>
          <a:ext cx="326327" cy="176784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492125</xdr:colOff>
      <xdr:row>24</xdr:row>
      <xdr:rowOff>0</xdr:rowOff>
    </xdr:from>
    <xdr:to>
      <xdr:col>21</xdr:col>
      <xdr:colOff>160845</xdr:colOff>
      <xdr:row>24</xdr:row>
      <xdr:rowOff>50672</xdr:rowOff>
    </xdr:to>
    <xdr:cxnSp macro="">
      <xdr:nvCxnSpPr>
        <xdr:cNvPr id="744" name="Прямая соединительная линия 743"/>
        <xdr:cNvCxnSpPr/>
      </xdr:nvCxnSpPr>
      <xdr:spPr>
        <a:xfrm>
          <a:off x="12827000" y="4572000"/>
          <a:ext cx="278320" cy="50672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160845</xdr:colOff>
      <xdr:row>24</xdr:row>
      <xdr:rowOff>50672</xdr:rowOff>
    </xdr:from>
    <xdr:to>
      <xdr:col>21</xdr:col>
      <xdr:colOff>417448</xdr:colOff>
      <xdr:row>24</xdr:row>
      <xdr:rowOff>85344</xdr:rowOff>
    </xdr:to>
    <xdr:cxnSp macro="">
      <xdr:nvCxnSpPr>
        <xdr:cNvPr id="745" name="Прямая соединительная линия 744"/>
        <xdr:cNvCxnSpPr/>
      </xdr:nvCxnSpPr>
      <xdr:spPr>
        <a:xfrm>
          <a:off x="13105320" y="4622672"/>
          <a:ext cx="256603" cy="34672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417448</xdr:colOff>
      <xdr:row>24</xdr:row>
      <xdr:rowOff>85344</xdr:rowOff>
    </xdr:from>
    <xdr:to>
      <xdr:col>22</xdr:col>
      <xdr:colOff>32449</xdr:colOff>
      <xdr:row>24</xdr:row>
      <xdr:rowOff>99440</xdr:rowOff>
    </xdr:to>
    <xdr:cxnSp macro="">
      <xdr:nvCxnSpPr>
        <xdr:cNvPr id="746" name="Прямая соединительная линия 745"/>
        <xdr:cNvCxnSpPr/>
      </xdr:nvCxnSpPr>
      <xdr:spPr>
        <a:xfrm>
          <a:off x="13361923" y="4657344"/>
          <a:ext cx="224601" cy="14096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32449</xdr:colOff>
      <xdr:row>24</xdr:row>
      <xdr:rowOff>88391</xdr:rowOff>
    </xdr:from>
    <xdr:to>
      <xdr:col>22</xdr:col>
      <xdr:colOff>214757</xdr:colOff>
      <xdr:row>24</xdr:row>
      <xdr:rowOff>99440</xdr:rowOff>
    </xdr:to>
    <xdr:cxnSp macro="">
      <xdr:nvCxnSpPr>
        <xdr:cNvPr id="747" name="Прямая соединительная линия 746"/>
        <xdr:cNvCxnSpPr/>
      </xdr:nvCxnSpPr>
      <xdr:spPr>
        <a:xfrm flipV="1">
          <a:off x="13586524" y="4660391"/>
          <a:ext cx="182308" cy="11049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214757</xdr:colOff>
      <xdr:row>24</xdr:row>
      <xdr:rowOff>47625</xdr:rowOff>
    </xdr:from>
    <xdr:to>
      <xdr:col>22</xdr:col>
      <xdr:colOff>344487</xdr:colOff>
      <xdr:row>24</xdr:row>
      <xdr:rowOff>88391</xdr:rowOff>
    </xdr:to>
    <xdr:cxnSp macro="">
      <xdr:nvCxnSpPr>
        <xdr:cNvPr id="748" name="Прямая соединительная линия 747"/>
        <xdr:cNvCxnSpPr/>
      </xdr:nvCxnSpPr>
      <xdr:spPr>
        <a:xfrm flipV="1">
          <a:off x="13768832" y="4619625"/>
          <a:ext cx="129730" cy="40766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344487</xdr:colOff>
      <xdr:row>23</xdr:row>
      <xdr:rowOff>163067</xdr:rowOff>
    </xdr:from>
    <xdr:to>
      <xdr:col>22</xdr:col>
      <xdr:colOff>411353</xdr:colOff>
      <xdr:row>24</xdr:row>
      <xdr:rowOff>47625</xdr:rowOff>
    </xdr:to>
    <xdr:cxnSp macro="">
      <xdr:nvCxnSpPr>
        <xdr:cNvPr id="749" name="Прямая соединительная линия 748"/>
        <xdr:cNvCxnSpPr/>
      </xdr:nvCxnSpPr>
      <xdr:spPr>
        <a:xfrm flipV="1">
          <a:off x="13898562" y="4544567"/>
          <a:ext cx="66866" cy="75058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405066</xdr:colOff>
      <xdr:row>23</xdr:row>
      <xdr:rowOff>49148</xdr:rowOff>
    </xdr:from>
    <xdr:to>
      <xdr:col>22</xdr:col>
      <xdr:colOff>411353</xdr:colOff>
      <xdr:row>23</xdr:row>
      <xdr:rowOff>163067</xdr:rowOff>
    </xdr:to>
    <xdr:cxnSp macro="">
      <xdr:nvCxnSpPr>
        <xdr:cNvPr id="750" name="Прямая соединительная линия 749"/>
        <xdr:cNvCxnSpPr/>
      </xdr:nvCxnSpPr>
      <xdr:spPr>
        <a:xfrm flipH="1" flipV="1">
          <a:off x="13959141" y="4430648"/>
          <a:ext cx="6287" cy="11391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315340</xdr:colOff>
      <xdr:row>22</xdr:row>
      <xdr:rowOff>82296</xdr:rowOff>
    </xdr:from>
    <xdr:to>
      <xdr:col>22</xdr:col>
      <xdr:colOff>405066</xdr:colOff>
      <xdr:row>23</xdr:row>
      <xdr:rowOff>49148</xdr:rowOff>
    </xdr:to>
    <xdr:cxnSp macro="">
      <xdr:nvCxnSpPr>
        <xdr:cNvPr id="751" name="Прямая соединительная линия 750"/>
        <xdr:cNvCxnSpPr/>
      </xdr:nvCxnSpPr>
      <xdr:spPr>
        <a:xfrm flipH="1" flipV="1">
          <a:off x="13869415" y="4273296"/>
          <a:ext cx="89726" cy="157352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131889</xdr:colOff>
      <xdr:row>21</xdr:row>
      <xdr:rowOff>67436</xdr:rowOff>
    </xdr:from>
    <xdr:to>
      <xdr:col>22</xdr:col>
      <xdr:colOff>315340</xdr:colOff>
      <xdr:row>22</xdr:row>
      <xdr:rowOff>82296</xdr:rowOff>
    </xdr:to>
    <xdr:cxnSp macro="">
      <xdr:nvCxnSpPr>
        <xdr:cNvPr id="752" name="Прямая соединительная линия 751"/>
        <xdr:cNvCxnSpPr/>
      </xdr:nvCxnSpPr>
      <xdr:spPr>
        <a:xfrm flipH="1" flipV="1">
          <a:off x="13685964" y="4067936"/>
          <a:ext cx="183451" cy="205360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454025</xdr:colOff>
      <xdr:row>20</xdr:row>
      <xdr:rowOff>0</xdr:rowOff>
    </xdr:from>
    <xdr:to>
      <xdr:col>22</xdr:col>
      <xdr:colOff>131889</xdr:colOff>
      <xdr:row>21</xdr:row>
      <xdr:rowOff>67436</xdr:rowOff>
    </xdr:to>
    <xdr:cxnSp macro="">
      <xdr:nvCxnSpPr>
        <xdr:cNvPr id="753" name="Прямая соединительная линия 752"/>
        <xdr:cNvCxnSpPr/>
      </xdr:nvCxnSpPr>
      <xdr:spPr>
        <a:xfrm flipH="1" flipV="1">
          <a:off x="13398500" y="3810000"/>
          <a:ext cx="287464" cy="257936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454025</xdr:colOff>
      <xdr:row>16</xdr:row>
      <xdr:rowOff>23241</xdr:rowOff>
    </xdr:from>
    <xdr:to>
      <xdr:col>21</xdr:col>
      <xdr:colOff>466597</xdr:colOff>
      <xdr:row>20</xdr:row>
      <xdr:rowOff>0</xdr:rowOff>
    </xdr:to>
    <xdr:cxnSp macro="">
      <xdr:nvCxnSpPr>
        <xdr:cNvPr id="754" name="Прямая соединительная линия 753"/>
        <xdr:cNvCxnSpPr/>
      </xdr:nvCxnSpPr>
      <xdr:spPr>
        <a:xfrm flipV="1">
          <a:off x="13398500" y="3071241"/>
          <a:ext cx="12572" cy="738759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394588</xdr:colOff>
      <xdr:row>12</xdr:row>
      <xdr:rowOff>163067</xdr:rowOff>
    </xdr:from>
    <xdr:to>
      <xdr:col>21</xdr:col>
      <xdr:colOff>466597</xdr:colOff>
      <xdr:row>16</xdr:row>
      <xdr:rowOff>23241</xdr:rowOff>
    </xdr:to>
    <xdr:cxnSp macro="">
      <xdr:nvCxnSpPr>
        <xdr:cNvPr id="755" name="Прямая соединительная линия 754"/>
        <xdr:cNvCxnSpPr/>
      </xdr:nvCxnSpPr>
      <xdr:spPr>
        <a:xfrm flipH="1" flipV="1">
          <a:off x="13339063" y="2449067"/>
          <a:ext cx="72009" cy="622174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244856</xdr:colOff>
      <xdr:row>10</xdr:row>
      <xdr:rowOff>29336</xdr:rowOff>
    </xdr:from>
    <xdr:to>
      <xdr:col>21</xdr:col>
      <xdr:colOff>394588</xdr:colOff>
      <xdr:row>12</xdr:row>
      <xdr:rowOff>163067</xdr:rowOff>
    </xdr:to>
    <xdr:cxnSp macro="">
      <xdr:nvCxnSpPr>
        <xdr:cNvPr id="756" name="Прямая соединительная линия 755"/>
        <xdr:cNvCxnSpPr/>
      </xdr:nvCxnSpPr>
      <xdr:spPr>
        <a:xfrm flipH="1" flipV="1">
          <a:off x="13189331" y="1934336"/>
          <a:ext cx="149732" cy="514731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24256</xdr:colOff>
      <xdr:row>7</xdr:row>
      <xdr:rowOff>184403</xdr:rowOff>
    </xdr:from>
    <xdr:to>
      <xdr:col>21</xdr:col>
      <xdr:colOff>244856</xdr:colOff>
      <xdr:row>10</xdr:row>
      <xdr:rowOff>29336</xdr:rowOff>
    </xdr:to>
    <xdr:cxnSp macro="">
      <xdr:nvCxnSpPr>
        <xdr:cNvPr id="757" name="Прямая соединительная линия 756"/>
        <xdr:cNvCxnSpPr/>
      </xdr:nvCxnSpPr>
      <xdr:spPr>
        <a:xfrm flipH="1" flipV="1">
          <a:off x="12968731" y="1517903"/>
          <a:ext cx="220600" cy="416433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349250</xdr:colOff>
      <xdr:row>6</xdr:row>
      <xdr:rowOff>47625</xdr:rowOff>
    </xdr:from>
    <xdr:to>
      <xdr:col>21</xdr:col>
      <xdr:colOff>24256</xdr:colOff>
      <xdr:row>7</xdr:row>
      <xdr:rowOff>184403</xdr:rowOff>
    </xdr:to>
    <xdr:cxnSp macro="">
      <xdr:nvCxnSpPr>
        <xdr:cNvPr id="758" name="Прямая соединительная линия 757"/>
        <xdr:cNvCxnSpPr/>
      </xdr:nvCxnSpPr>
      <xdr:spPr>
        <a:xfrm flipH="1" flipV="1">
          <a:off x="12684125" y="1190625"/>
          <a:ext cx="284606" cy="327278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7493</xdr:colOff>
      <xdr:row>4</xdr:row>
      <xdr:rowOff>181355</xdr:rowOff>
    </xdr:from>
    <xdr:to>
      <xdr:col>20</xdr:col>
      <xdr:colOff>349250</xdr:colOff>
      <xdr:row>6</xdr:row>
      <xdr:rowOff>47625</xdr:rowOff>
    </xdr:to>
    <xdr:cxnSp macro="">
      <xdr:nvCxnSpPr>
        <xdr:cNvPr id="759" name="Прямая соединительная линия 758"/>
        <xdr:cNvCxnSpPr/>
      </xdr:nvCxnSpPr>
      <xdr:spPr>
        <a:xfrm flipH="1" flipV="1">
          <a:off x="12342368" y="943355"/>
          <a:ext cx="341757" cy="247270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225043</xdr:colOff>
      <xdr:row>4</xdr:row>
      <xdr:rowOff>4952</xdr:rowOff>
    </xdr:from>
    <xdr:to>
      <xdr:col>20</xdr:col>
      <xdr:colOff>7493</xdr:colOff>
      <xdr:row>4</xdr:row>
      <xdr:rowOff>181355</xdr:rowOff>
    </xdr:to>
    <xdr:cxnSp macro="">
      <xdr:nvCxnSpPr>
        <xdr:cNvPr id="760" name="Прямая соединительная линия 759"/>
        <xdr:cNvCxnSpPr/>
      </xdr:nvCxnSpPr>
      <xdr:spPr>
        <a:xfrm flipH="1" flipV="1">
          <a:off x="11950318" y="766952"/>
          <a:ext cx="392050" cy="176403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399160</xdr:colOff>
      <xdr:row>3</xdr:row>
      <xdr:rowOff>80772</xdr:rowOff>
    </xdr:from>
    <xdr:to>
      <xdr:col>19</xdr:col>
      <xdr:colOff>225043</xdr:colOff>
      <xdr:row>4</xdr:row>
      <xdr:rowOff>4952</xdr:rowOff>
    </xdr:to>
    <xdr:cxnSp macro="">
      <xdr:nvCxnSpPr>
        <xdr:cNvPr id="761" name="Прямая соединительная линия 760"/>
        <xdr:cNvCxnSpPr/>
      </xdr:nvCxnSpPr>
      <xdr:spPr>
        <a:xfrm flipH="1" flipV="1">
          <a:off x="11514835" y="652272"/>
          <a:ext cx="435483" cy="114680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536702</xdr:colOff>
      <xdr:row>3</xdr:row>
      <xdr:rowOff>18669</xdr:rowOff>
    </xdr:from>
    <xdr:to>
      <xdr:col>18</xdr:col>
      <xdr:colOff>399160</xdr:colOff>
      <xdr:row>3</xdr:row>
      <xdr:rowOff>80772</xdr:rowOff>
    </xdr:to>
    <xdr:cxnSp macro="">
      <xdr:nvCxnSpPr>
        <xdr:cNvPr id="762" name="Прямая соединительная линия 761"/>
        <xdr:cNvCxnSpPr/>
      </xdr:nvCxnSpPr>
      <xdr:spPr>
        <a:xfrm flipH="1" flipV="1">
          <a:off x="11042777" y="590169"/>
          <a:ext cx="472058" cy="62103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34925</xdr:colOff>
      <xdr:row>3</xdr:row>
      <xdr:rowOff>0</xdr:rowOff>
    </xdr:from>
    <xdr:to>
      <xdr:col>17</xdr:col>
      <xdr:colOff>536702</xdr:colOff>
      <xdr:row>3</xdr:row>
      <xdr:rowOff>18669</xdr:rowOff>
    </xdr:to>
    <xdr:cxnSp macro="">
      <xdr:nvCxnSpPr>
        <xdr:cNvPr id="763" name="Прямая соединительная линия 762"/>
        <xdr:cNvCxnSpPr/>
      </xdr:nvCxnSpPr>
      <xdr:spPr>
        <a:xfrm flipH="1" flipV="1">
          <a:off x="10541000" y="571500"/>
          <a:ext cx="501777" cy="18669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145986</xdr:colOff>
      <xdr:row>3</xdr:row>
      <xdr:rowOff>0</xdr:rowOff>
    </xdr:from>
    <xdr:to>
      <xdr:col>17</xdr:col>
      <xdr:colOff>34925</xdr:colOff>
      <xdr:row>3</xdr:row>
      <xdr:rowOff>42100</xdr:rowOff>
    </xdr:to>
    <xdr:cxnSp macro="">
      <xdr:nvCxnSpPr>
        <xdr:cNvPr id="764" name="Прямая соединительная линия 763"/>
        <xdr:cNvCxnSpPr/>
      </xdr:nvCxnSpPr>
      <xdr:spPr>
        <a:xfrm flipH="1">
          <a:off x="10042461" y="571500"/>
          <a:ext cx="498539" cy="42100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283336</xdr:colOff>
      <xdr:row>3</xdr:row>
      <xdr:rowOff>42100</xdr:rowOff>
    </xdr:from>
    <xdr:to>
      <xdr:col>16</xdr:col>
      <xdr:colOff>145986</xdr:colOff>
      <xdr:row>3</xdr:row>
      <xdr:rowOff>153923</xdr:rowOff>
    </xdr:to>
    <xdr:cxnSp macro="">
      <xdr:nvCxnSpPr>
        <xdr:cNvPr id="765" name="Прямая соединительная линия 764"/>
        <xdr:cNvCxnSpPr/>
      </xdr:nvCxnSpPr>
      <xdr:spPr>
        <a:xfrm flipH="1">
          <a:off x="9570211" y="613600"/>
          <a:ext cx="472250" cy="111823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438975</xdr:colOff>
      <xdr:row>3</xdr:row>
      <xdr:rowOff>153923</xdr:rowOff>
    </xdr:from>
    <xdr:to>
      <xdr:col>15</xdr:col>
      <xdr:colOff>283336</xdr:colOff>
      <xdr:row>4</xdr:row>
      <xdr:rowOff>123253</xdr:rowOff>
    </xdr:to>
    <xdr:cxnSp macro="">
      <xdr:nvCxnSpPr>
        <xdr:cNvPr id="766" name="Прямая соединительная линия 765"/>
        <xdr:cNvCxnSpPr/>
      </xdr:nvCxnSpPr>
      <xdr:spPr>
        <a:xfrm flipH="1">
          <a:off x="9116250" y="725423"/>
          <a:ext cx="453961" cy="159830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604901</xdr:colOff>
      <xdr:row>4</xdr:row>
      <xdr:rowOff>123253</xdr:rowOff>
    </xdr:from>
    <xdr:to>
      <xdr:col>14</xdr:col>
      <xdr:colOff>438975</xdr:colOff>
      <xdr:row>5</xdr:row>
      <xdr:rowOff>118872</xdr:rowOff>
    </xdr:to>
    <xdr:cxnSp macro="">
      <xdr:nvCxnSpPr>
        <xdr:cNvPr id="767" name="Прямая соединительная линия 766"/>
        <xdr:cNvCxnSpPr/>
      </xdr:nvCxnSpPr>
      <xdr:spPr>
        <a:xfrm flipH="1">
          <a:off x="8672576" y="885253"/>
          <a:ext cx="443674" cy="186119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163512</xdr:colOff>
      <xdr:row>5</xdr:row>
      <xdr:rowOff>118872</xdr:rowOff>
    </xdr:from>
    <xdr:to>
      <xdr:col>13</xdr:col>
      <xdr:colOff>604901</xdr:colOff>
      <xdr:row>6</xdr:row>
      <xdr:rowOff>119062</xdr:rowOff>
    </xdr:to>
    <xdr:cxnSp macro="">
      <xdr:nvCxnSpPr>
        <xdr:cNvPr id="768" name="Прямая соединительная линия 767"/>
        <xdr:cNvCxnSpPr/>
      </xdr:nvCxnSpPr>
      <xdr:spPr>
        <a:xfrm flipH="1">
          <a:off x="8231187" y="1071372"/>
          <a:ext cx="441389" cy="190690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326008</xdr:colOff>
      <xdr:row>6</xdr:row>
      <xdr:rowOff>119062</xdr:rowOff>
    </xdr:from>
    <xdr:to>
      <xdr:col>13</xdr:col>
      <xdr:colOff>163512</xdr:colOff>
      <xdr:row>7</xdr:row>
      <xdr:rowOff>102108</xdr:rowOff>
    </xdr:to>
    <xdr:cxnSp macro="">
      <xdr:nvCxnSpPr>
        <xdr:cNvPr id="769" name="Прямая соединительная линия 768"/>
        <xdr:cNvCxnSpPr/>
      </xdr:nvCxnSpPr>
      <xdr:spPr>
        <a:xfrm flipH="1">
          <a:off x="7784083" y="1262062"/>
          <a:ext cx="447104" cy="173546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474789</xdr:colOff>
      <xdr:row>7</xdr:row>
      <xdr:rowOff>102108</xdr:rowOff>
    </xdr:from>
    <xdr:to>
      <xdr:col>12</xdr:col>
      <xdr:colOff>326008</xdr:colOff>
      <xdr:row>8</xdr:row>
      <xdr:rowOff>46291</xdr:rowOff>
    </xdr:to>
    <xdr:cxnSp macro="">
      <xdr:nvCxnSpPr>
        <xdr:cNvPr id="770" name="Прямая соединительная линия 769"/>
        <xdr:cNvCxnSpPr/>
      </xdr:nvCxnSpPr>
      <xdr:spPr>
        <a:xfrm flipH="1">
          <a:off x="7323264" y="1435608"/>
          <a:ext cx="460819" cy="134683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601853</xdr:colOff>
      <xdr:row>8</xdr:row>
      <xdr:rowOff>46291</xdr:rowOff>
    </xdr:from>
    <xdr:to>
      <xdr:col>11</xdr:col>
      <xdr:colOff>474789</xdr:colOff>
      <xdr:row>8</xdr:row>
      <xdr:rowOff>120395</xdr:rowOff>
    </xdr:to>
    <xdr:cxnSp macro="">
      <xdr:nvCxnSpPr>
        <xdr:cNvPr id="771" name="Прямая соединительная линия 770"/>
        <xdr:cNvCxnSpPr/>
      </xdr:nvCxnSpPr>
      <xdr:spPr>
        <a:xfrm flipH="1">
          <a:off x="6840728" y="1570291"/>
          <a:ext cx="482536" cy="74104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89598</xdr:colOff>
      <xdr:row>8</xdr:row>
      <xdr:rowOff>112204</xdr:rowOff>
    </xdr:from>
    <xdr:to>
      <xdr:col>10</xdr:col>
      <xdr:colOff>601853</xdr:colOff>
      <xdr:row>8</xdr:row>
      <xdr:rowOff>120395</xdr:rowOff>
    </xdr:to>
    <xdr:cxnSp macro="">
      <xdr:nvCxnSpPr>
        <xdr:cNvPr id="772" name="Прямая соединительная линия 771"/>
        <xdr:cNvCxnSpPr/>
      </xdr:nvCxnSpPr>
      <xdr:spPr>
        <a:xfrm flipH="1" flipV="1">
          <a:off x="6328473" y="1636204"/>
          <a:ext cx="512255" cy="8191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149225</xdr:colOff>
      <xdr:row>8</xdr:row>
      <xdr:rowOff>0</xdr:rowOff>
    </xdr:from>
    <xdr:to>
      <xdr:col>10</xdr:col>
      <xdr:colOff>89598</xdr:colOff>
      <xdr:row>8</xdr:row>
      <xdr:rowOff>112204</xdr:rowOff>
    </xdr:to>
    <xdr:cxnSp macro="">
      <xdr:nvCxnSpPr>
        <xdr:cNvPr id="773" name="Прямая соединительная линия 772"/>
        <xdr:cNvCxnSpPr/>
      </xdr:nvCxnSpPr>
      <xdr:spPr>
        <a:xfrm flipH="1" flipV="1">
          <a:off x="5778500" y="1524000"/>
          <a:ext cx="549973" cy="112204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7"/>
  <dimension ref="A1:T76"/>
  <sheetViews>
    <sheetView workbookViewId="0"/>
  </sheetViews>
  <sheetFormatPr defaultColWidth="0" defaultRowHeight="15" customHeight="1" zeroHeight="1"/>
  <cols>
    <col min="1" max="20" width="9.140625" customWidth="1"/>
    <col min="21" max="16384" width="9.140625" hidden="1"/>
  </cols>
  <sheetData>
    <row r="1" spans="1:10">
      <c r="A1" t="s">
        <v>78</v>
      </c>
      <c r="C1" t="s">
        <v>79</v>
      </c>
    </row>
    <row r="2" spans="1:10"/>
    <row r="3" spans="1:10"/>
    <row r="4" spans="1:10"/>
    <row r="5" spans="1:10"/>
    <row r="6" spans="1:10"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F7" s="8" t="s">
        <v>55</v>
      </c>
      <c r="G7">
        <f>C11</f>
        <v>2.1</v>
      </c>
      <c r="H7">
        <f>C13</f>
        <v>5.3</v>
      </c>
      <c r="I7">
        <f>C14</f>
        <v>54</v>
      </c>
      <c r="J7">
        <f>C15</f>
        <v>190</v>
      </c>
    </row>
    <row r="8" spans="1:10">
      <c r="F8" s="8" t="s">
        <v>56</v>
      </c>
      <c r="G8">
        <f>D11</f>
        <v>64</v>
      </c>
      <c r="H8">
        <f>D13</f>
        <v>42</v>
      </c>
      <c r="I8">
        <f>D14</f>
        <v>-41</v>
      </c>
      <c r="J8">
        <f>D15</f>
        <v>97</v>
      </c>
    </row>
    <row r="9" spans="1:10">
      <c r="F9" s="5" t="s">
        <v>55</v>
      </c>
      <c r="G9">
        <f t="shared" ref="G9:G16" si="0">J7</f>
        <v>190</v>
      </c>
      <c r="H9">
        <f>C16</f>
        <v>210</v>
      </c>
      <c r="I9">
        <f>C17</f>
        <v>350</v>
      </c>
      <c r="J9">
        <f>C18</f>
        <v>380</v>
      </c>
    </row>
    <row r="10" spans="1:10">
      <c r="B10" s="5" t="s">
        <v>57</v>
      </c>
      <c r="C10" t="s">
        <v>57</v>
      </c>
      <c r="F10" s="5" t="s">
        <v>56</v>
      </c>
      <c r="G10">
        <f t="shared" si="0"/>
        <v>97</v>
      </c>
      <c r="H10">
        <f>D16</f>
        <v>39</v>
      </c>
      <c r="I10">
        <f>D17</f>
        <v>-5.7</v>
      </c>
      <c r="J10">
        <f>D18</f>
        <v>150</v>
      </c>
    </row>
    <row r="11" spans="1:10">
      <c r="B11" s="5" t="s">
        <v>61</v>
      </c>
      <c r="C11">
        <v>2.1</v>
      </c>
      <c r="D11">
        <v>64</v>
      </c>
      <c r="E11" s="13"/>
      <c r="F11" s="8" t="s">
        <v>55</v>
      </c>
      <c r="G11">
        <f t="shared" si="0"/>
        <v>380</v>
      </c>
      <c r="H11">
        <f>$G11+C20</f>
        <v>440</v>
      </c>
      <c r="I11">
        <f>$G11+C21</f>
        <v>490</v>
      </c>
      <c r="J11">
        <f>$G11+C22</f>
        <v>560</v>
      </c>
    </row>
    <row r="12" spans="1:10">
      <c r="B12" s="5" t="s">
        <v>58</v>
      </c>
      <c r="C12" t="s">
        <v>58</v>
      </c>
      <c r="E12" s="14"/>
      <c r="F12" s="8" t="s">
        <v>56</v>
      </c>
      <c r="G12">
        <f t="shared" si="0"/>
        <v>150</v>
      </c>
      <c r="H12">
        <f>$G12+D20</f>
        <v>210</v>
      </c>
      <c r="I12">
        <f>$G12+D21</f>
        <v>270</v>
      </c>
      <c r="J12">
        <f>$G12+D22</f>
        <v>300</v>
      </c>
    </row>
    <row r="13" spans="1:10">
      <c r="B13" s="5" t="s">
        <v>62</v>
      </c>
      <c r="C13">
        <v>5.3</v>
      </c>
      <c r="D13">
        <v>42</v>
      </c>
      <c r="E13" s="14"/>
      <c r="F13" s="5" t="s">
        <v>55</v>
      </c>
      <c r="G13">
        <f t="shared" si="0"/>
        <v>560</v>
      </c>
      <c r="H13">
        <f>$G13+C23</f>
        <v>610</v>
      </c>
      <c r="I13">
        <f>$G13+C24</f>
        <v>710</v>
      </c>
      <c r="J13">
        <f>$G13+C25</f>
        <v>730</v>
      </c>
    </row>
    <row r="14" spans="1:10">
      <c r="B14" s="5" t="s">
        <v>63</v>
      </c>
      <c r="C14">
        <v>54</v>
      </c>
      <c r="D14">
        <v>-41</v>
      </c>
      <c r="E14" s="14"/>
      <c r="F14" s="5" t="s">
        <v>56</v>
      </c>
      <c r="G14">
        <f t="shared" si="0"/>
        <v>300</v>
      </c>
      <c r="H14">
        <f>$G14+D23</f>
        <v>220</v>
      </c>
      <c r="I14">
        <f>$G14+D24</f>
        <v>260</v>
      </c>
      <c r="J14">
        <f>$G14+D25</f>
        <v>330</v>
      </c>
    </row>
    <row r="15" spans="1:10">
      <c r="B15" s="5" t="s">
        <v>64</v>
      </c>
      <c r="C15">
        <v>190</v>
      </c>
      <c r="D15">
        <v>97</v>
      </c>
      <c r="E15" s="15"/>
      <c r="F15" s="8" t="s">
        <v>55</v>
      </c>
      <c r="G15">
        <f t="shared" si="0"/>
        <v>730</v>
      </c>
      <c r="H15">
        <f>$G15+C26</f>
        <v>900</v>
      </c>
      <c r="I15">
        <f>$G15+C27</f>
        <v>1100</v>
      </c>
      <c r="J15">
        <f>$G15+C28</f>
        <v>1100</v>
      </c>
    </row>
    <row r="16" spans="1:10">
      <c r="B16" s="5" t="s">
        <v>65</v>
      </c>
      <c r="C16">
        <v>210</v>
      </c>
      <c r="D16">
        <v>39</v>
      </c>
      <c r="E16" s="9"/>
      <c r="F16" s="8" t="s">
        <v>56</v>
      </c>
      <c r="G16">
        <f t="shared" si="0"/>
        <v>330</v>
      </c>
      <c r="H16">
        <f>$G16+D26</f>
        <v>150</v>
      </c>
      <c r="I16">
        <f>$G16+D27</f>
        <v>320</v>
      </c>
      <c r="J16">
        <f>$G16+D28</f>
        <v>410</v>
      </c>
    </row>
    <row r="17" spans="2:8">
      <c r="B17" s="5" t="s">
        <v>66</v>
      </c>
      <c r="C17">
        <v>350</v>
      </c>
      <c r="D17">
        <v>-5.7</v>
      </c>
      <c r="E17" s="10"/>
    </row>
    <row r="18" spans="2:8">
      <c r="B18" s="6">
        <v>380150</v>
      </c>
      <c r="C18">
        <v>380</v>
      </c>
      <c r="D18">
        <v>150</v>
      </c>
      <c r="E18" s="11"/>
    </row>
    <row r="19" spans="2:8">
      <c r="B19" s="5" t="s">
        <v>59</v>
      </c>
      <c r="C19" t="s">
        <v>59</v>
      </c>
    </row>
    <row r="20" spans="2:8">
      <c r="B20" s="5" t="s">
        <v>67</v>
      </c>
      <c r="C20">
        <v>60</v>
      </c>
      <c r="D20">
        <v>60</v>
      </c>
      <c r="E20" s="1"/>
      <c r="F20" s="1">
        <v>0</v>
      </c>
      <c r="G20" s="4">
        <f>mLib.Bezier(G$7,H$7,I$7,J$7,$F20)</f>
        <v>2.1</v>
      </c>
      <c r="H20" s="4">
        <f>mLib.Bezier(G$8,H$8,I$8,J$8,$F20)</f>
        <v>64</v>
      </c>
    </row>
    <row r="21" spans="2:8">
      <c r="B21" s="6">
        <v>110120</v>
      </c>
      <c r="C21">
        <v>110</v>
      </c>
      <c r="D21">
        <v>120</v>
      </c>
      <c r="E21" s="1"/>
      <c r="F21" s="1">
        <v>0.1</v>
      </c>
      <c r="G21" s="4">
        <f t="shared" ref="G21:G30" si="1">mLib.Bezier(G$7,H$7,I$7,J$7,$F21)</f>
        <v>4.466800000000001</v>
      </c>
      <c r="H21" s="4">
        <f t="shared" ref="H21:H30" si="2">mLib.Bezier(G$8,H$8,I$8,J$8,$F21)</f>
        <v>55.852000000000004</v>
      </c>
    </row>
    <row r="22" spans="2:8">
      <c r="B22" s="6">
        <v>180150</v>
      </c>
      <c r="C22">
        <v>180</v>
      </c>
      <c r="D22">
        <v>150</v>
      </c>
      <c r="E22" s="1"/>
      <c r="F22" s="1">
        <v>0.2</v>
      </c>
      <c r="G22" s="4">
        <f t="shared" si="1"/>
        <v>9.8144000000000027</v>
      </c>
      <c r="H22" s="4">
        <f t="shared" si="2"/>
        <v>45.736000000000011</v>
      </c>
    </row>
    <row r="23" spans="2:8">
      <c r="B23" s="5" t="s">
        <v>68</v>
      </c>
      <c r="C23">
        <v>50</v>
      </c>
      <c r="D23">
        <v>-80</v>
      </c>
      <c r="F23" s="1">
        <v>0.3</v>
      </c>
      <c r="G23" s="4">
        <f t="shared" si="1"/>
        <v>18.393599999999996</v>
      </c>
      <c r="H23" s="4">
        <f t="shared" si="2"/>
        <v>35.343999999999994</v>
      </c>
    </row>
    <row r="24" spans="2:8">
      <c r="B24" s="5" t="s">
        <v>69</v>
      </c>
      <c r="C24">
        <v>150</v>
      </c>
      <c r="D24">
        <v>-40</v>
      </c>
      <c r="F24" s="1">
        <v>0.4</v>
      </c>
      <c r="G24" s="4">
        <f t="shared" si="1"/>
        <v>30.455200000000001</v>
      </c>
      <c r="H24" s="4">
        <f t="shared" si="2"/>
        <v>26.367999999999999</v>
      </c>
    </row>
    <row r="25" spans="2:8">
      <c r="B25" s="5" t="s">
        <v>70</v>
      </c>
      <c r="C25">
        <v>170</v>
      </c>
      <c r="D25">
        <v>30</v>
      </c>
      <c r="F25" s="1">
        <v>0.5</v>
      </c>
      <c r="G25" s="4">
        <f t="shared" si="1"/>
        <v>46.25</v>
      </c>
      <c r="H25" s="4">
        <f t="shared" si="2"/>
        <v>20.5</v>
      </c>
    </row>
    <row r="26" spans="2:8">
      <c r="B26" s="5" t="s">
        <v>71</v>
      </c>
      <c r="C26">
        <v>170</v>
      </c>
      <c r="D26">
        <v>-180</v>
      </c>
      <c r="E26" s="1"/>
      <c r="F26" s="1">
        <v>0.6</v>
      </c>
      <c r="G26" s="4">
        <f t="shared" si="1"/>
        <v>66.02879999999999</v>
      </c>
      <c r="H26" s="4">
        <f t="shared" si="2"/>
        <v>19.432000000000002</v>
      </c>
    </row>
    <row r="27" spans="2:8">
      <c r="B27" s="5" t="s">
        <v>72</v>
      </c>
      <c r="C27">
        <v>370</v>
      </c>
      <c r="D27">
        <v>-10</v>
      </c>
      <c r="E27" s="1"/>
      <c r="F27" s="1">
        <v>0.7</v>
      </c>
      <c r="G27" s="4">
        <f t="shared" si="1"/>
        <v>90.042399999999986</v>
      </c>
      <c r="H27" s="4">
        <f t="shared" si="2"/>
        <v>24.855999999999995</v>
      </c>
    </row>
    <row r="28" spans="2:8">
      <c r="B28" s="6" t="s">
        <v>73</v>
      </c>
      <c r="C28">
        <v>370</v>
      </c>
      <c r="D28">
        <v>80</v>
      </c>
      <c r="E28" s="1"/>
      <c r="F28" s="1">
        <v>0.8</v>
      </c>
      <c r="G28" s="4">
        <f t="shared" si="1"/>
        <v>118.54160000000002</v>
      </c>
      <c r="H28" s="4">
        <f t="shared" si="2"/>
        <v>38.464000000000006</v>
      </c>
    </row>
    <row r="29" spans="2:8">
      <c r="F29" s="1">
        <v>0.9</v>
      </c>
      <c r="G29" s="4">
        <f t="shared" si="1"/>
        <v>151.77720000000002</v>
      </c>
      <c r="H29" s="4">
        <f t="shared" si="2"/>
        <v>61.948000000000008</v>
      </c>
    </row>
    <row r="30" spans="2:8">
      <c r="F30" s="1">
        <v>1</v>
      </c>
      <c r="G30" s="4">
        <f t="shared" si="1"/>
        <v>190</v>
      </c>
      <c r="H30" s="4">
        <f t="shared" si="2"/>
        <v>97</v>
      </c>
    </row>
    <row r="31" spans="2:8">
      <c r="F31">
        <v>0</v>
      </c>
      <c r="G31" s="4">
        <f>mLib.Bezier(G$9,H$9,I$9,J$9,$F31)</f>
        <v>190</v>
      </c>
      <c r="H31" s="4">
        <f>mLib.Bezier(G$10,H$10,I$10,J$10,$F31)</f>
        <v>97</v>
      </c>
    </row>
    <row r="32" spans="2:8">
      <c r="F32">
        <v>0.1</v>
      </c>
      <c r="G32" s="4">
        <f t="shared" ref="G32:G41" si="3">mLib.Bezier(G$9,H$9,I$9,J$9,$F32)</f>
        <v>199.37000000000003</v>
      </c>
      <c r="H32" s="4">
        <f t="shared" ref="H32:H41" si="4">mLib.Bezier(G$10,H$10,I$10,J$10,$F32)</f>
        <v>80.18610000000001</v>
      </c>
    </row>
    <row r="33" spans="5:8">
      <c r="F33">
        <v>0.2</v>
      </c>
      <c r="G33" s="4">
        <f t="shared" si="3"/>
        <v>214.56000000000006</v>
      </c>
      <c r="H33" s="4">
        <f t="shared" si="4"/>
        <v>65.292800000000014</v>
      </c>
    </row>
    <row r="34" spans="5:8">
      <c r="F34">
        <v>0.3</v>
      </c>
      <c r="G34" s="4">
        <f t="shared" si="3"/>
        <v>234.18999999999997</v>
      </c>
      <c r="H34" s="4">
        <f t="shared" si="4"/>
        <v>53.442699999999988</v>
      </c>
    </row>
    <row r="35" spans="5:8">
      <c r="F35">
        <v>0.4</v>
      </c>
      <c r="G35" s="4">
        <f t="shared" si="3"/>
        <v>256.88</v>
      </c>
      <c r="H35" s="4">
        <f t="shared" si="4"/>
        <v>45.758400000000002</v>
      </c>
    </row>
    <row r="36" spans="5:8">
      <c r="F36">
        <v>0.5</v>
      </c>
      <c r="G36" s="4">
        <f t="shared" si="3"/>
        <v>281.25</v>
      </c>
      <c r="H36" s="4">
        <f t="shared" si="4"/>
        <v>43.362499999999997</v>
      </c>
    </row>
    <row r="37" spans="5:8">
      <c r="F37">
        <v>0.6</v>
      </c>
      <c r="G37" s="4">
        <f t="shared" si="3"/>
        <v>305.92</v>
      </c>
      <c r="H37" s="4">
        <f t="shared" si="4"/>
        <v>47.377600000000001</v>
      </c>
    </row>
    <row r="38" spans="5:8">
      <c r="F38">
        <v>0.7</v>
      </c>
      <c r="G38" s="4">
        <f t="shared" si="3"/>
        <v>329.51</v>
      </c>
      <c r="H38" s="4">
        <f t="shared" si="4"/>
        <v>58.926299999999991</v>
      </c>
    </row>
    <row r="39" spans="5:8">
      <c r="F39">
        <v>0.8</v>
      </c>
      <c r="G39" s="4">
        <f t="shared" si="3"/>
        <v>350.64</v>
      </c>
      <c r="H39" s="4">
        <f t="shared" si="4"/>
        <v>79.131200000000007</v>
      </c>
    </row>
    <row r="40" spans="5:8">
      <c r="F40">
        <v>0.9</v>
      </c>
      <c r="G40" s="4">
        <f t="shared" si="3"/>
        <v>367.93</v>
      </c>
      <c r="H40" s="4">
        <f t="shared" si="4"/>
        <v>109.11490000000001</v>
      </c>
    </row>
    <row r="41" spans="5:8">
      <c r="F41">
        <v>1</v>
      </c>
      <c r="G41" s="4">
        <f t="shared" si="3"/>
        <v>380</v>
      </c>
      <c r="H41" s="4">
        <f t="shared" si="4"/>
        <v>150</v>
      </c>
    </row>
    <row r="42" spans="5:8">
      <c r="E42" s="16">
        <v>3</v>
      </c>
      <c r="F42" s="1">
        <v>0</v>
      </c>
      <c r="G42" s="4">
        <f>mLib.Bezier(G$11,H$11,I$11,J$11,$F42)</f>
        <v>380</v>
      </c>
      <c r="H42" s="4">
        <f>mLib.Bezier(G$12,H$12,I$12,J$12,$F42)</f>
        <v>150</v>
      </c>
    </row>
    <row r="43" spans="5:8">
      <c r="E43" s="17"/>
      <c r="F43" s="1">
        <v>0.1</v>
      </c>
      <c r="G43" s="4">
        <f t="shared" ref="G43:G52" si="5">mLib.Bezier(G$11,H$11,I$11,J$11,$F43)</f>
        <v>397.73000000000008</v>
      </c>
      <c r="H43" s="4">
        <f t="shared" ref="H43:H52" si="6">mLib.Bezier(G$12,H$12,I$12,J$12,$F43)</f>
        <v>167.97000000000003</v>
      </c>
    </row>
    <row r="44" spans="5:8">
      <c r="E44" s="17"/>
      <c r="F44" s="1">
        <v>0.2</v>
      </c>
      <c r="G44" s="4">
        <f t="shared" si="5"/>
        <v>415.04000000000008</v>
      </c>
      <c r="H44" s="4">
        <f t="shared" si="6"/>
        <v>185.76000000000005</v>
      </c>
    </row>
    <row r="45" spans="5:8">
      <c r="E45" s="17"/>
      <c r="F45" s="1">
        <v>0.3</v>
      </c>
      <c r="G45" s="4">
        <f t="shared" si="5"/>
        <v>432.1099999999999</v>
      </c>
      <c r="H45" s="4">
        <f t="shared" si="6"/>
        <v>203.18999999999997</v>
      </c>
    </row>
    <row r="46" spans="5:8">
      <c r="E46" s="17"/>
      <c r="F46" s="1">
        <v>0.4</v>
      </c>
      <c r="G46" s="4">
        <f t="shared" si="5"/>
        <v>449.12</v>
      </c>
      <c r="H46" s="4">
        <f t="shared" si="6"/>
        <v>220.08</v>
      </c>
    </row>
    <row r="47" spans="5:8">
      <c r="E47" s="17"/>
      <c r="F47" s="1">
        <v>0.5</v>
      </c>
      <c r="G47" s="4">
        <f t="shared" si="5"/>
        <v>466.25</v>
      </c>
      <c r="H47" s="4">
        <f t="shared" si="6"/>
        <v>236.25</v>
      </c>
    </row>
    <row r="48" spans="5:8">
      <c r="E48" s="17"/>
      <c r="F48" s="1">
        <v>0.6</v>
      </c>
      <c r="G48" s="4">
        <f t="shared" si="5"/>
        <v>483.68</v>
      </c>
      <c r="H48" s="4">
        <f t="shared" si="6"/>
        <v>251.52</v>
      </c>
    </row>
    <row r="49" spans="5:8">
      <c r="E49" s="17"/>
      <c r="F49" s="1">
        <v>0.7</v>
      </c>
      <c r="G49" s="4">
        <f t="shared" si="5"/>
        <v>501.59</v>
      </c>
      <c r="H49" s="4">
        <f t="shared" si="6"/>
        <v>265.70999999999998</v>
      </c>
    </row>
    <row r="50" spans="5:8">
      <c r="E50" s="17"/>
      <c r="F50" s="1">
        <v>0.8</v>
      </c>
      <c r="G50" s="4">
        <f t="shared" si="5"/>
        <v>520.16</v>
      </c>
      <c r="H50" s="4">
        <f t="shared" si="6"/>
        <v>278.64</v>
      </c>
    </row>
    <row r="51" spans="5:8">
      <c r="E51" s="17"/>
      <c r="F51" s="1">
        <v>0.9</v>
      </c>
      <c r="G51" s="4">
        <f t="shared" si="5"/>
        <v>539.57000000000005</v>
      </c>
      <c r="H51" s="4">
        <f t="shared" si="6"/>
        <v>290.13</v>
      </c>
    </row>
    <row r="52" spans="5:8">
      <c r="E52" s="18"/>
      <c r="F52" s="1">
        <v>1</v>
      </c>
      <c r="G52" s="4">
        <f t="shared" si="5"/>
        <v>560</v>
      </c>
      <c r="H52" s="4">
        <f t="shared" si="6"/>
        <v>300</v>
      </c>
    </row>
    <row r="53" spans="5:8">
      <c r="F53">
        <v>0</v>
      </c>
      <c r="G53" s="4">
        <f>mLib.Bezier(G$13,H$13,I$13,J$13,$F53)</f>
        <v>560</v>
      </c>
      <c r="H53" s="4">
        <f>mLib.Bezier(G$14,H$14,I$14,J$14,$F53)</f>
        <v>300</v>
      </c>
    </row>
    <row r="54" spans="5:8">
      <c r="F54">
        <v>0.1</v>
      </c>
      <c r="G54" s="4">
        <f t="shared" ref="G54:G63" si="7">mLib.Bezier(G$13,H$13,I$13,J$13,$F54)</f>
        <v>576.37000000000012</v>
      </c>
      <c r="H54" s="4">
        <f t="shared" ref="H54:H63" si="8">mLib.Bezier(G$14,H$14,I$14,J$14,$F54)</f>
        <v>279.51000000000005</v>
      </c>
    </row>
    <row r="55" spans="5:8">
      <c r="F55">
        <v>0.2</v>
      </c>
      <c r="G55" s="4">
        <f t="shared" si="7"/>
        <v>594.96000000000015</v>
      </c>
      <c r="H55" s="4">
        <f t="shared" si="8"/>
        <v>265.68000000000006</v>
      </c>
    </row>
    <row r="56" spans="5:8">
      <c r="F56">
        <v>0.3</v>
      </c>
      <c r="G56" s="4">
        <f t="shared" si="7"/>
        <v>614.9899999999999</v>
      </c>
      <c r="H56" s="4">
        <f t="shared" si="8"/>
        <v>257.96999999999997</v>
      </c>
    </row>
    <row r="57" spans="5:8">
      <c r="F57">
        <v>0.4</v>
      </c>
      <c r="G57" s="4">
        <f t="shared" si="7"/>
        <v>635.68000000000006</v>
      </c>
      <c r="H57" s="4">
        <f t="shared" si="8"/>
        <v>255.84</v>
      </c>
    </row>
    <row r="58" spans="5:8">
      <c r="F58">
        <v>0.5</v>
      </c>
      <c r="G58" s="4">
        <f t="shared" si="7"/>
        <v>656.25</v>
      </c>
      <c r="H58" s="4">
        <f t="shared" si="8"/>
        <v>258.75</v>
      </c>
    </row>
    <row r="59" spans="5:8">
      <c r="F59">
        <v>0.6</v>
      </c>
      <c r="G59" s="4">
        <f t="shared" si="7"/>
        <v>675.92</v>
      </c>
      <c r="H59" s="4">
        <f t="shared" si="8"/>
        <v>266.16000000000003</v>
      </c>
    </row>
    <row r="60" spans="5:8">
      <c r="F60">
        <v>0.7</v>
      </c>
      <c r="G60" s="4">
        <f t="shared" si="7"/>
        <v>693.91</v>
      </c>
      <c r="H60" s="4">
        <f t="shared" si="8"/>
        <v>277.52999999999997</v>
      </c>
    </row>
    <row r="61" spans="5:8">
      <c r="F61">
        <v>0.8</v>
      </c>
      <c r="G61" s="4">
        <f t="shared" si="7"/>
        <v>709.44</v>
      </c>
      <c r="H61" s="4">
        <f t="shared" si="8"/>
        <v>292.32</v>
      </c>
    </row>
    <row r="62" spans="5:8">
      <c r="F62">
        <v>0.9</v>
      </c>
      <c r="G62" s="4">
        <f t="shared" si="7"/>
        <v>721.73</v>
      </c>
      <c r="H62" s="4">
        <f t="shared" si="8"/>
        <v>309.99</v>
      </c>
    </row>
    <row r="63" spans="5:8">
      <c r="F63">
        <v>1</v>
      </c>
      <c r="G63" s="4">
        <f t="shared" si="7"/>
        <v>730</v>
      </c>
      <c r="H63" s="4">
        <f t="shared" si="8"/>
        <v>330</v>
      </c>
    </row>
    <row r="64" spans="5:8">
      <c r="E64" s="16">
        <v>5</v>
      </c>
      <c r="F64" s="1">
        <v>0</v>
      </c>
      <c r="G64" s="4">
        <f>mLib.Bezier(G$15,H$15,I$15,J$15,$F64)</f>
        <v>730</v>
      </c>
      <c r="H64" s="4">
        <f>mLib.Bezier(G$16,H$16,I$16,J$16,$F64)</f>
        <v>330</v>
      </c>
    </row>
    <row r="65" spans="5:8">
      <c r="E65" s="17"/>
      <c r="F65" s="1">
        <v>0.1</v>
      </c>
      <c r="G65" s="4">
        <f t="shared" ref="G65:G74" si="9">mLib.Bezier(G$15,H$15,I$15,J$15,$F65)</f>
        <v>781.67000000000007</v>
      </c>
      <c r="H65" s="4">
        <f t="shared" ref="H65:H74" si="10">mLib.Bezier(G$16,H$16,I$16,J$16,$F65)</f>
        <v>286.07000000000005</v>
      </c>
    </row>
    <row r="66" spans="5:8">
      <c r="E66" s="17"/>
      <c r="F66" s="1">
        <v>0.2</v>
      </c>
      <c r="G66" s="4">
        <f t="shared" si="9"/>
        <v>833.76000000000022</v>
      </c>
      <c r="H66" s="4">
        <f t="shared" si="10"/>
        <v>260.56000000000006</v>
      </c>
    </row>
    <row r="67" spans="5:8">
      <c r="E67" s="17"/>
      <c r="F67" s="1">
        <v>0.3</v>
      </c>
      <c r="G67" s="4">
        <f t="shared" si="9"/>
        <v>884.88999999999987</v>
      </c>
      <c r="H67" s="4">
        <f t="shared" si="10"/>
        <v>250.88999999999996</v>
      </c>
    </row>
    <row r="68" spans="5:8">
      <c r="E68" s="17"/>
      <c r="F68" s="1">
        <v>0.4</v>
      </c>
      <c r="G68" s="4">
        <f t="shared" si="9"/>
        <v>933.68000000000006</v>
      </c>
      <c r="H68" s="4">
        <f t="shared" si="10"/>
        <v>254.48</v>
      </c>
    </row>
    <row r="69" spans="5:8">
      <c r="E69" s="17"/>
      <c r="F69" s="1">
        <v>0.5</v>
      </c>
      <c r="G69" s="4">
        <f t="shared" si="9"/>
        <v>978.75</v>
      </c>
      <c r="H69" s="4">
        <f t="shared" si="10"/>
        <v>268.75</v>
      </c>
    </row>
    <row r="70" spans="5:8">
      <c r="E70" s="17"/>
      <c r="F70" s="1">
        <v>0.6</v>
      </c>
      <c r="G70" s="4">
        <f t="shared" si="9"/>
        <v>1018.72</v>
      </c>
      <c r="H70" s="4">
        <f t="shared" si="10"/>
        <v>291.12</v>
      </c>
    </row>
    <row r="71" spans="5:8">
      <c r="E71" s="17"/>
      <c r="F71" s="1">
        <v>0.7</v>
      </c>
      <c r="G71" s="4">
        <f t="shared" si="9"/>
        <v>1052.21</v>
      </c>
      <c r="H71" s="4">
        <f t="shared" si="10"/>
        <v>319.01</v>
      </c>
    </row>
    <row r="72" spans="5:8">
      <c r="E72" s="17"/>
      <c r="F72" s="1">
        <v>0.8</v>
      </c>
      <c r="G72" s="4">
        <f t="shared" si="9"/>
        <v>1077.8399999999999</v>
      </c>
      <c r="H72" s="4">
        <f t="shared" si="10"/>
        <v>349.84000000000003</v>
      </c>
    </row>
    <row r="73" spans="5:8">
      <c r="E73" s="17"/>
      <c r="F73" s="1">
        <v>0.9</v>
      </c>
      <c r="G73" s="4">
        <f t="shared" si="9"/>
        <v>1094.23</v>
      </c>
      <c r="H73" s="4">
        <f t="shared" si="10"/>
        <v>381.03000000000003</v>
      </c>
    </row>
    <row r="74" spans="5:8">
      <c r="E74" s="18"/>
      <c r="F74" s="1">
        <v>1</v>
      </c>
      <c r="G74" s="4">
        <f t="shared" si="9"/>
        <v>1100</v>
      </c>
      <c r="H74" s="4">
        <f t="shared" si="10"/>
        <v>410</v>
      </c>
    </row>
    <row r="75" spans="5:8"/>
    <row r="76" spans="5:8"/>
  </sheetData>
  <mergeCells count="3">
    <mergeCell ref="E11:E15"/>
    <mergeCell ref="E42:E52"/>
    <mergeCell ref="E64:E7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K68"/>
  <sheetViews>
    <sheetView topLeftCell="A40" workbookViewId="0"/>
  </sheetViews>
  <sheetFormatPr defaultColWidth="0" defaultRowHeight="15" zeroHeight="1"/>
  <cols>
    <col min="1" max="11" width="9.140625" customWidth="1"/>
    <col min="12" max="16384" width="9.140625" hidden="1"/>
  </cols>
  <sheetData>
    <row r="1" spans="1:2">
      <c r="A1" t="str">
        <f>CONCATENATE(B4&amp;CHAR(10),tSVG,tDEFS,tMETA,A54)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</v>
      </c>
    </row>
    <row r="2" spans="1:2">
      <c r="A2" t="str">
        <f>A65</f>
        <v xml:space="preserve">  &lt;/g&gt;&lt;/svg&gt;</v>
      </c>
    </row>
    <row r="3" spans="1:2">
      <c r="A3" t="s">
        <v>53</v>
      </c>
    </row>
    <row r="4" spans="1:2">
      <c r="B4" s="1" t="s">
        <v>0</v>
      </c>
    </row>
    <row r="5" spans="1:2">
      <c r="B5" s="1" t="s">
        <v>1</v>
      </c>
    </row>
    <row r="6" spans="1:2">
      <c r="B6" s="1"/>
    </row>
    <row r="7" spans="1:2">
      <c r="A7" s="3" t="str">
        <f>CONCATENATE(B7,B8,B9,B10,B11,B12,B13,B14,B15,B16,B17,B18,B19,B20,B21)</f>
        <v>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</v>
      </c>
      <c r="B7" s="1" t="s">
        <v>2</v>
      </c>
    </row>
    <row r="8" spans="1:2">
      <c r="B8" s="1" t="s">
        <v>3</v>
      </c>
    </row>
    <row r="9" spans="1:2">
      <c r="B9" s="1" t="s">
        <v>4</v>
      </c>
    </row>
    <row r="10" spans="1:2">
      <c r="B10" s="1" t="s">
        <v>5</v>
      </c>
    </row>
    <row r="11" spans="1:2">
      <c r="B11" s="1" t="s">
        <v>6</v>
      </c>
    </row>
    <row r="12" spans="1:2">
      <c r="B12" s="1" t="s">
        <v>7</v>
      </c>
    </row>
    <row r="13" spans="1:2">
      <c r="B13" s="1" t="s">
        <v>8</v>
      </c>
    </row>
    <row r="14" spans="1:2">
      <c r="B14" s="1" t="s">
        <v>9</v>
      </c>
    </row>
    <row r="15" spans="1:2">
      <c r="B15" s="1" t="s">
        <v>10</v>
      </c>
    </row>
    <row r="16" spans="1:2">
      <c r="B16" s="1" t="s">
        <v>11</v>
      </c>
    </row>
    <row r="17" spans="1:2">
      <c r="B17" s="1" t="s">
        <v>12</v>
      </c>
    </row>
    <row r="18" spans="1:2">
      <c r="B18" s="1" t="s">
        <v>13</v>
      </c>
    </row>
    <row r="19" spans="1:2">
      <c r="B19" s="1" t="s">
        <v>14</v>
      </c>
    </row>
    <row r="20" spans="1:2">
      <c r="B20" s="1" t="s">
        <v>15</v>
      </c>
    </row>
    <row r="21" spans="1:2">
      <c r="B21" s="1" t="str">
        <f>CONCATENATE("   sodipodi:docname=""",A3,".svg""","&gt;")</f>
        <v xml:space="preserve">   sodipodi:docname="espelho11.svg"&gt;</v>
      </c>
    </row>
    <row r="22" spans="1:2">
      <c r="A22" s="3" t="str">
        <f>CONCATENATE(B22,B23,B24,B25,B26,B27,B28,B29,B30,B31,B32,B33,B34,B35,B36,B37,B38,B39,B40,B41)</f>
        <v xml:space="preserve">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</v>
      </c>
      <c r="B22" s="1" t="s">
        <v>16</v>
      </c>
    </row>
    <row r="23" spans="1:2">
      <c r="B23" s="1" t="s">
        <v>17</v>
      </c>
    </row>
    <row r="24" spans="1:2">
      <c r="B24" s="1" t="s">
        <v>18</v>
      </c>
    </row>
    <row r="25" spans="1:2">
      <c r="B25" s="1" t="s">
        <v>19</v>
      </c>
    </row>
    <row r="26" spans="1:2">
      <c r="B26" s="1" t="s">
        <v>20</v>
      </c>
    </row>
    <row r="27" spans="1:2">
      <c r="B27" s="1" t="s">
        <v>21</v>
      </c>
    </row>
    <row r="28" spans="1:2">
      <c r="B28" s="1" t="s">
        <v>22</v>
      </c>
    </row>
    <row r="29" spans="1:2">
      <c r="B29" s="1" t="s">
        <v>23</v>
      </c>
    </row>
    <row r="30" spans="1:2">
      <c r="B30" s="1" t="s">
        <v>24</v>
      </c>
    </row>
    <row r="31" spans="1:2">
      <c r="B31" s="1" t="s">
        <v>25</v>
      </c>
    </row>
    <row r="32" spans="1:2">
      <c r="B32" s="1" t="s">
        <v>26</v>
      </c>
    </row>
    <row r="33" spans="1:2">
      <c r="B33" s="1" t="s">
        <v>27</v>
      </c>
    </row>
    <row r="34" spans="1:2">
      <c r="B34" s="1" t="s">
        <v>28</v>
      </c>
    </row>
    <row r="35" spans="1:2">
      <c r="B35" s="1" t="s">
        <v>29</v>
      </c>
    </row>
    <row r="36" spans="1:2">
      <c r="B36" s="1" t="s">
        <v>30</v>
      </c>
    </row>
    <row r="37" spans="1:2">
      <c r="B37" s="1" t="s">
        <v>31</v>
      </c>
    </row>
    <row r="38" spans="1:2">
      <c r="B38" s="1" t="s">
        <v>32</v>
      </c>
    </row>
    <row r="39" spans="1:2">
      <c r="B39" s="1" t="s">
        <v>33</v>
      </c>
    </row>
    <row r="40" spans="1:2">
      <c r="B40" s="1" t="s">
        <v>34</v>
      </c>
    </row>
    <row r="41" spans="1:2">
      <c r="B41" s="1" t="s">
        <v>35</v>
      </c>
    </row>
    <row r="42" spans="1:2">
      <c r="A42" s="3" t="str">
        <f>CONCATENATE(B42,B43,B44,B45,B46,B47,B48,B49,B50,B51,B52,B53)</f>
        <v xml:space="preserve">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</v>
      </c>
      <c r="B42" s="1" t="s">
        <v>36</v>
      </c>
    </row>
    <row r="43" spans="1:2">
      <c r="B43" s="1" t="s">
        <v>37</v>
      </c>
    </row>
    <row r="44" spans="1:2">
      <c r="B44" s="1" t="s">
        <v>38</v>
      </c>
    </row>
    <row r="45" spans="1:2">
      <c r="B45" s="1" t="s">
        <v>39</v>
      </c>
    </row>
    <row r="46" spans="1:2">
      <c r="B46" s="1" t="s">
        <v>40</v>
      </c>
    </row>
    <row r="47" spans="1:2">
      <c r="B47" s="1" t="s">
        <v>41</v>
      </c>
    </row>
    <row r="48" spans="1:2">
      <c r="B48" s="1" t="s">
        <v>42</v>
      </c>
    </row>
    <row r="49" spans="1:2">
      <c r="B49" s="1" t="s">
        <v>43</v>
      </c>
    </row>
    <row r="50" spans="1:2">
      <c r="B50" s="1" t="s">
        <v>44</v>
      </c>
    </row>
    <row r="51" spans="1:2">
      <c r="B51" s="1" t="s">
        <v>45</v>
      </c>
    </row>
    <row r="52" spans="1:2">
      <c r="B52" s="1" t="s">
        <v>46</v>
      </c>
    </row>
    <row r="53" spans="1:2">
      <c r="B53" s="1" t="s">
        <v>47</v>
      </c>
    </row>
    <row r="54" spans="1:2">
      <c r="A54" s="3" t="str">
        <f>CONCATENATE(B54,B55,B56,B57)</f>
        <v xml:space="preserve">  &lt;g     inkscape:label="Layer 1"     inkscape:groupmode="layer"     id="layer1"&gt;</v>
      </c>
      <c r="B54" s="1" t="s">
        <v>48</v>
      </c>
    </row>
    <row r="55" spans="1:2">
      <c r="B55" s="1" t="s">
        <v>49</v>
      </c>
    </row>
    <row r="56" spans="1:2">
      <c r="B56" s="1" t="s">
        <v>50</v>
      </c>
    </row>
    <row r="57" spans="1:2">
      <c r="B57" t="s">
        <v>54</v>
      </c>
    </row>
    <row r="58" spans="1:2"/>
    <row r="59" spans="1:2"/>
    <row r="60" spans="1:2"/>
    <row r="61" spans="1:2"/>
    <row r="62" spans="1:2"/>
    <row r="63" spans="1:2"/>
    <row r="64" spans="1:2"/>
    <row r="65" spans="1:2">
      <c r="A65" s="3" t="str">
        <f>CONCATENATE(B65,B66)</f>
        <v xml:space="preserve">  &lt;/g&gt;&lt;/svg&gt;</v>
      </c>
      <c r="B65" s="2" t="s">
        <v>51</v>
      </c>
    </row>
    <row r="66" spans="1:2">
      <c r="B66" s="2" t="s">
        <v>52</v>
      </c>
    </row>
    <row r="67" spans="1:2"/>
    <row r="68" spans="1: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6"/>
  <dimension ref="A1:T101"/>
  <sheetViews>
    <sheetView tabSelected="1" workbookViewId="0"/>
  </sheetViews>
  <sheetFormatPr defaultColWidth="0" defaultRowHeight="15" zeroHeight="1"/>
  <cols>
    <col min="1" max="20" width="9.140625" customWidth="1"/>
    <col min="21" max="16384" width="9.140625" hidden="1"/>
  </cols>
  <sheetData>
    <row r="1" spans="1:10">
      <c r="A1" t="s">
        <v>80</v>
      </c>
      <c r="C1" t="s">
        <v>60</v>
      </c>
    </row>
    <row r="2" spans="1:10"/>
    <row r="3" spans="1:10"/>
    <row r="4" spans="1:10"/>
    <row r="5" spans="1:10"/>
    <row r="6" spans="1:10"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F7" s="8" t="s">
        <v>55</v>
      </c>
      <c r="G7">
        <f>C11</f>
        <v>2.1</v>
      </c>
      <c r="H7">
        <f>C13</f>
        <v>5.3</v>
      </c>
      <c r="I7">
        <f>C14</f>
        <v>54</v>
      </c>
      <c r="J7">
        <f>C15</f>
        <v>190</v>
      </c>
    </row>
    <row r="8" spans="1:10">
      <c r="F8" s="8" t="s">
        <v>56</v>
      </c>
      <c r="G8">
        <f>D11</f>
        <v>64</v>
      </c>
      <c r="H8">
        <f>D13</f>
        <v>42</v>
      </c>
      <c r="I8">
        <f>D14</f>
        <v>-41</v>
      </c>
      <c r="J8">
        <f>D15</f>
        <v>97</v>
      </c>
    </row>
    <row r="9" spans="1:10">
      <c r="F9" s="5" t="s">
        <v>55</v>
      </c>
      <c r="G9">
        <f t="shared" ref="G9:G16" si="0">J7</f>
        <v>190</v>
      </c>
      <c r="H9">
        <f>C16</f>
        <v>210</v>
      </c>
      <c r="I9">
        <f>C17</f>
        <v>350</v>
      </c>
      <c r="J9">
        <f>C18</f>
        <v>380</v>
      </c>
    </row>
    <row r="10" spans="1:10">
      <c r="B10" s="5" t="s">
        <v>57</v>
      </c>
      <c r="C10" t="s">
        <v>57</v>
      </c>
      <c r="F10" s="5" t="s">
        <v>56</v>
      </c>
      <c r="G10">
        <f t="shared" si="0"/>
        <v>97</v>
      </c>
      <c r="H10">
        <f>D16</f>
        <v>39</v>
      </c>
      <c r="I10">
        <f>D17</f>
        <v>-5.7</v>
      </c>
      <c r="J10">
        <f>D18</f>
        <v>150</v>
      </c>
    </row>
    <row r="11" spans="1:10">
      <c r="B11" s="5" t="s">
        <v>61</v>
      </c>
      <c r="C11">
        <v>2.1</v>
      </c>
      <c r="D11">
        <v>64</v>
      </c>
      <c r="E11" s="13"/>
      <c r="F11" s="8" t="s">
        <v>55</v>
      </c>
      <c r="G11">
        <f t="shared" si="0"/>
        <v>380</v>
      </c>
      <c r="H11">
        <f>$G11+C20</f>
        <v>440</v>
      </c>
      <c r="I11">
        <f>$G11+C21</f>
        <v>490</v>
      </c>
      <c r="J11">
        <f>$G11+C22</f>
        <v>560</v>
      </c>
    </row>
    <row r="12" spans="1:10">
      <c r="B12" s="5" t="s">
        <v>58</v>
      </c>
      <c r="C12" t="s">
        <v>58</v>
      </c>
      <c r="E12" s="14"/>
      <c r="F12" s="8" t="s">
        <v>56</v>
      </c>
      <c r="G12">
        <f t="shared" si="0"/>
        <v>150</v>
      </c>
      <c r="H12">
        <f>$G12+D20</f>
        <v>210</v>
      </c>
      <c r="I12">
        <f>$G12+D21</f>
        <v>270</v>
      </c>
      <c r="J12">
        <f>$G12+D22</f>
        <v>300</v>
      </c>
    </row>
    <row r="13" spans="1:10">
      <c r="B13" s="5" t="s">
        <v>62</v>
      </c>
      <c r="C13">
        <v>5.3</v>
      </c>
      <c r="D13">
        <v>42</v>
      </c>
      <c r="E13" s="14"/>
      <c r="F13" s="5" t="s">
        <v>55</v>
      </c>
      <c r="G13">
        <f t="shared" si="0"/>
        <v>560</v>
      </c>
      <c r="H13">
        <f>$G13+C23</f>
        <v>610</v>
      </c>
      <c r="I13">
        <f>$G13+C24</f>
        <v>710</v>
      </c>
      <c r="J13">
        <f>$G13+C25</f>
        <v>730</v>
      </c>
    </row>
    <row r="14" spans="1:10">
      <c r="B14" s="5" t="s">
        <v>63</v>
      </c>
      <c r="C14">
        <v>54</v>
      </c>
      <c r="D14">
        <v>-41</v>
      </c>
      <c r="E14" s="14"/>
      <c r="F14" s="5" t="s">
        <v>56</v>
      </c>
      <c r="G14">
        <f t="shared" si="0"/>
        <v>300</v>
      </c>
      <c r="H14">
        <f>$G14+D23</f>
        <v>220</v>
      </c>
      <c r="I14">
        <f>$G14+D24</f>
        <v>260</v>
      </c>
      <c r="J14">
        <f>$G14+D25</f>
        <v>330</v>
      </c>
    </row>
    <row r="15" spans="1:10">
      <c r="B15" s="5" t="s">
        <v>64</v>
      </c>
      <c r="C15">
        <v>190</v>
      </c>
      <c r="D15">
        <v>97</v>
      </c>
      <c r="E15" s="15"/>
      <c r="F15" s="8" t="s">
        <v>55</v>
      </c>
      <c r="G15">
        <f t="shared" si="0"/>
        <v>730</v>
      </c>
      <c r="H15">
        <f>$G15+C26</f>
        <v>900</v>
      </c>
      <c r="I15">
        <f>$G15+C27</f>
        <v>1100</v>
      </c>
      <c r="J15">
        <f>$G15+C28</f>
        <v>1100</v>
      </c>
    </row>
    <row r="16" spans="1:10">
      <c r="B16" s="5" t="s">
        <v>65</v>
      </c>
      <c r="C16">
        <v>210</v>
      </c>
      <c r="D16">
        <v>39</v>
      </c>
      <c r="E16" s="9"/>
      <c r="F16" s="8" t="s">
        <v>56</v>
      </c>
      <c r="G16">
        <f t="shared" si="0"/>
        <v>330</v>
      </c>
      <c r="H16">
        <f>$G16+D26</f>
        <v>150</v>
      </c>
      <c r="I16">
        <f>$G16+D27</f>
        <v>320</v>
      </c>
      <c r="J16">
        <f>$G16+D28</f>
        <v>410</v>
      </c>
    </row>
    <row r="17" spans="2:12">
      <c r="B17" s="5" t="s">
        <v>66</v>
      </c>
      <c r="C17">
        <v>350</v>
      </c>
      <c r="D17">
        <v>-5.7</v>
      </c>
      <c r="E17" s="10"/>
    </row>
    <row r="18" spans="2:12">
      <c r="B18" s="6">
        <v>380150</v>
      </c>
      <c r="C18">
        <v>380</v>
      </c>
      <c r="D18">
        <v>150</v>
      </c>
      <c r="E18" s="11"/>
      <c r="J18">
        <v>25</v>
      </c>
      <c r="K18">
        <v>10</v>
      </c>
    </row>
    <row r="19" spans="2:12">
      <c r="B19" s="5" t="s">
        <v>59</v>
      </c>
      <c r="C19" t="s">
        <v>59</v>
      </c>
      <c r="J19">
        <f>J18/G74</f>
        <v>2.2727272727272728E-2</v>
      </c>
      <c r="K19">
        <f>K18/H74</f>
        <v>2.4390243902439025E-2</v>
      </c>
    </row>
    <row r="20" spans="2:12">
      <c r="B20" s="8" t="s">
        <v>67</v>
      </c>
      <c r="C20" s="1">
        <v>60</v>
      </c>
      <c r="D20" s="1">
        <v>60</v>
      </c>
      <c r="E20" s="1"/>
      <c r="F20" s="1">
        <v>0</v>
      </c>
      <c r="G20" s="4">
        <f>mLib.Bezier(G$7,H$7,I$7,J$7,$F20)</f>
        <v>2.1</v>
      </c>
      <c r="H20" s="4">
        <f>mLib.Bezier(G$8,H$8,I$8,J$8,$F20)</f>
        <v>64</v>
      </c>
      <c r="J20">
        <f t="shared" ref="J20:J51" si="1">G20*cffX</f>
        <v>4.7727272727272729E-2</v>
      </c>
      <c r="K20">
        <f t="shared" ref="K20:K51" si="2">H20*cffY</f>
        <v>1.5609756097560976</v>
      </c>
      <c r="L20">
        <f t="shared" ref="L20:L51" si="3">hghZ-K20</f>
        <v>8.4390243902439028</v>
      </c>
    </row>
    <row r="21" spans="2:12">
      <c r="B21" s="12">
        <v>110120</v>
      </c>
      <c r="C21" s="1">
        <v>110</v>
      </c>
      <c r="D21" s="1">
        <v>120</v>
      </c>
      <c r="E21" s="1"/>
      <c r="F21" s="1">
        <v>0.1</v>
      </c>
      <c r="G21" s="4">
        <f t="shared" ref="G21:G30" si="4">mLib.Bezier(G$7,H$7,I$7,J$7,$F21)</f>
        <v>4.466800000000001</v>
      </c>
      <c r="H21" s="4">
        <f t="shared" ref="H21:H30" si="5">mLib.Bezier(G$8,H$8,I$8,J$8,$F21)</f>
        <v>55.852000000000004</v>
      </c>
      <c r="J21">
        <f t="shared" si="1"/>
        <v>0.10151818181818184</v>
      </c>
      <c r="K21">
        <f t="shared" si="2"/>
        <v>1.3622439024390245</v>
      </c>
      <c r="L21">
        <f t="shared" si="3"/>
        <v>8.6377560975609757</v>
      </c>
    </row>
    <row r="22" spans="2:12">
      <c r="B22" s="12">
        <v>180150</v>
      </c>
      <c r="C22" s="1">
        <v>180</v>
      </c>
      <c r="D22" s="1">
        <v>150</v>
      </c>
      <c r="E22" s="1"/>
      <c r="F22" s="1">
        <v>0.2</v>
      </c>
      <c r="G22" s="4">
        <f t="shared" si="4"/>
        <v>9.8144000000000027</v>
      </c>
      <c r="H22" s="4">
        <f t="shared" si="5"/>
        <v>45.736000000000011</v>
      </c>
      <c r="J22">
        <f t="shared" si="1"/>
        <v>0.22305454545454553</v>
      </c>
      <c r="K22">
        <f t="shared" si="2"/>
        <v>1.1155121951219515</v>
      </c>
      <c r="L22">
        <f t="shared" si="3"/>
        <v>8.8844878048780487</v>
      </c>
    </row>
    <row r="23" spans="2:12">
      <c r="B23" s="5" t="s">
        <v>68</v>
      </c>
      <c r="C23">
        <v>50</v>
      </c>
      <c r="D23">
        <v>-80</v>
      </c>
      <c r="F23" s="1">
        <v>0.3</v>
      </c>
      <c r="G23" s="4">
        <f t="shared" si="4"/>
        <v>18.393599999999996</v>
      </c>
      <c r="H23" s="4">
        <f t="shared" si="5"/>
        <v>35.343999999999994</v>
      </c>
      <c r="J23">
        <f t="shared" si="1"/>
        <v>0.41803636363636354</v>
      </c>
      <c r="K23">
        <f t="shared" si="2"/>
        <v>0.86204878048780476</v>
      </c>
      <c r="L23">
        <f t="shared" si="3"/>
        <v>9.1379512195121961</v>
      </c>
    </row>
    <row r="24" spans="2:12">
      <c r="B24" s="5" t="s">
        <v>69</v>
      </c>
      <c r="C24">
        <v>150</v>
      </c>
      <c r="D24">
        <v>-40</v>
      </c>
      <c r="F24" s="1">
        <v>0.4</v>
      </c>
      <c r="G24" s="4">
        <f t="shared" si="4"/>
        <v>30.455200000000001</v>
      </c>
      <c r="H24" s="4">
        <f t="shared" si="5"/>
        <v>26.367999999999999</v>
      </c>
      <c r="J24">
        <f t="shared" si="1"/>
        <v>0.69216363636363643</v>
      </c>
      <c r="K24">
        <f t="shared" si="2"/>
        <v>0.64312195121951221</v>
      </c>
      <c r="L24">
        <f t="shared" si="3"/>
        <v>9.3568780487804872</v>
      </c>
    </row>
    <row r="25" spans="2:12">
      <c r="B25" s="5" t="s">
        <v>70</v>
      </c>
      <c r="C25">
        <v>170</v>
      </c>
      <c r="D25">
        <v>30</v>
      </c>
      <c r="F25" s="1">
        <v>0.5</v>
      </c>
      <c r="G25" s="4">
        <f t="shared" si="4"/>
        <v>46.25</v>
      </c>
      <c r="H25" s="4">
        <f t="shared" si="5"/>
        <v>20.5</v>
      </c>
      <c r="J25">
        <f t="shared" si="1"/>
        <v>1.0511363636363638</v>
      </c>
      <c r="K25">
        <f t="shared" si="2"/>
        <v>0.5</v>
      </c>
      <c r="L25">
        <f t="shared" si="3"/>
        <v>9.5</v>
      </c>
    </row>
    <row r="26" spans="2:12">
      <c r="B26" s="8" t="s">
        <v>71</v>
      </c>
      <c r="C26" s="1">
        <v>170</v>
      </c>
      <c r="D26" s="1">
        <v>-180</v>
      </c>
      <c r="E26" s="1"/>
      <c r="F26" s="1">
        <v>0.6</v>
      </c>
      <c r="G26" s="4">
        <f t="shared" si="4"/>
        <v>66.02879999999999</v>
      </c>
      <c r="H26" s="4">
        <f t="shared" si="5"/>
        <v>19.432000000000002</v>
      </c>
      <c r="J26">
        <f t="shared" si="1"/>
        <v>1.5006545454545452</v>
      </c>
      <c r="K26">
        <f t="shared" si="2"/>
        <v>0.47395121951219521</v>
      </c>
      <c r="L26">
        <f t="shared" si="3"/>
        <v>9.5260487804878053</v>
      </c>
    </row>
    <row r="27" spans="2:12">
      <c r="B27" s="8" t="s">
        <v>72</v>
      </c>
      <c r="C27" s="1">
        <v>370</v>
      </c>
      <c r="D27" s="1">
        <v>-10</v>
      </c>
      <c r="E27" s="1"/>
      <c r="F27" s="1">
        <v>0.7</v>
      </c>
      <c r="G27" s="4">
        <f t="shared" si="4"/>
        <v>90.042399999999986</v>
      </c>
      <c r="H27" s="4">
        <f t="shared" si="5"/>
        <v>24.855999999999995</v>
      </c>
      <c r="J27">
        <f t="shared" si="1"/>
        <v>2.0464181818181815</v>
      </c>
      <c r="K27">
        <f t="shared" si="2"/>
        <v>0.60624390243902426</v>
      </c>
      <c r="L27">
        <f t="shared" si="3"/>
        <v>9.393756097560976</v>
      </c>
    </row>
    <row r="28" spans="2:12">
      <c r="B28" s="12" t="s">
        <v>73</v>
      </c>
      <c r="C28" s="1">
        <v>370</v>
      </c>
      <c r="D28" s="1">
        <v>80</v>
      </c>
      <c r="E28" s="1"/>
      <c r="F28" s="1">
        <v>0.8</v>
      </c>
      <c r="G28" s="4">
        <f t="shared" si="4"/>
        <v>118.54160000000002</v>
      </c>
      <c r="H28" s="4">
        <f t="shared" si="5"/>
        <v>38.464000000000006</v>
      </c>
      <c r="J28">
        <f t="shared" si="1"/>
        <v>2.6941272727272731</v>
      </c>
      <c r="K28">
        <f t="shared" si="2"/>
        <v>0.9381463414634148</v>
      </c>
      <c r="L28">
        <f t="shared" si="3"/>
        <v>9.0618536585365845</v>
      </c>
    </row>
    <row r="29" spans="2:12">
      <c r="F29" s="1">
        <v>0.9</v>
      </c>
      <c r="G29" s="4">
        <f t="shared" si="4"/>
        <v>151.77720000000002</v>
      </c>
      <c r="H29" s="4">
        <f t="shared" si="5"/>
        <v>61.948000000000008</v>
      </c>
      <c r="J29">
        <f t="shared" si="1"/>
        <v>3.4494818181818188</v>
      </c>
      <c r="K29">
        <f t="shared" si="2"/>
        <v>1.5109268292682929</v>
      </c>
      <c r="L29">
        <f t="shared" si="3"/>
        <v>8.4890731707317073</v>
      </c>
    </row>
    <row r="30" spans="2:12">
      <c r="F30" s="1">
        <v>1</v>
      </c>
      <c r="G30" s="4">
        <f t="shared" si="4"/>
        <v>190</v>
      </c>
      <c r="H30" s="4">
        <f t="shared" si="5"/>
        <v>97</v>
      </c>
      <c r="J30">
        <f t="shared" si="1"/>
        <v>4.3181818181818183</v>
      </c>
      <c r="K30">
        <f t="shared" si="2"/>
        <v>2.3658536585365852</v>
      </c>
      <c r="L30">
        <f t="shared" si="3"/>
        <v>7.6341463414634152</v>
      </c>
    </row>
    <row r="31" spans="2:12">
      <c r="F31">
        <v>0</v>
      </c>
      <c r="G31" s="4">
        <f>mLib.Bezier(G$9,H$9,I$9,J$9,$F31)</f>
        <v>190</v>
      </c>
      <c r="H31" s="4">
        <f>mLib.Bezier(G$10,H$10,I$10,J$10,$F31)</f>
        <v>97</v>
      </c>
      <c r="J31">
        <f t="shared" si="1"/>
        <v>4.3181818181818183</v>
      </c>
      <c r="K31">
        <f t="shared" si="2"/>
        <v>2.3658536585365852</v>
      </c>
      <c r="L31">
        <f t="shared" si="3"/>
        <v>7.6341463414634152</v>
      </c>
    </row>
    <row r="32" spans="2:12">
      <c r="F32">
        <v>0.1</v>
      </c>
      <c r="G32" s="4">
        <f t="shared" ref="G32:G41" si="6">mLib.Bezier(G$9,H$9,I$9,J$9,$F32)</f>
        <v>199.37000000000003</v>
      </c>
      <c r="H32" s="4">
        <f t="shared" ref="H32:H41" si="7">mLib.Bezier(G$10,H$10,I$10,J$10,$F32)</f>
        <v>80.18610000000001</v>
      </c>
      <c r="J32">
        <f t="shared" si="1"/>
        <v>4.5311363636363646</v>
      </c>
      <c r="K32">
        <f t="shared" si="2"/>
        <v>1.9557585365853662</v>
      </c>
      <c r="L32">
        <f t="shared" si="3"/>
        <v>8.0442414634146342</v>
      </c>
    </row>
    <row r="33" spans="5:12">
      <c r="F33">
        <v>0.2</v>
      </c>
      <c r="G33" s="4">
        <f t="shared" si="6"/>
        <v>214.56000000000006</v>
      </c>
      <c r="H33" s="4">
        <f t="shared" si="7"/>
        <v>65.292800000000014</v>
      </c>
      <c r="J33">
        <f t="shared" si="1"/>
        <v>4.8763636363636378</v>
      </c>
      <c r="K33">
        <f t="shared" si="2"/>
        <v>1.5925073170731712</v>
      </c>
      <c r="L33">
        <f t="shared" si="3"/>
        <v>8.4074926829268293</v>
      </c>
    </row>
    <row r="34" spans="5:12">
      <c r="F34">
        <v>0.3</v>
      </c>
      <c r="G34" s="4">
        <f t="shared" si="6"/>
        <v>234.18999999999997</v>
      </c>
      <c r="H34" s="4">
        <f t="shared" si="7"/>
        <v>53.442699999999988</v>
      </c>
      <c r="J34">
        <f t="shared" si="1"/>
        <v>5.3224999999999998</v>
      </c>
      <c r="K34">
        <f t="shared" si="2"/>
        <v>1.3034804878048778</v>
      </c>
      <c r="L34">
        <f t="shared" si="3"/>
        <v>8.6965195121951222</v>
      </c>
    </row>
    <row r="35" spans="5:12">
      <c r="F35">
        <v>0.4</v>
      </c>
      <c r="G35" s="4">
        <f t="shared" si="6"/>
        <v>256.88</v>
      </c>
      <c r="H35" s="4">
        <f t="shared" si="7"/>
        <v>45.758400000000002</v>
      </c>
      <c r="J35">
        <f t="shared" si="1"/>
        <v>5.8381818181818179</v>
      </c>
      <c r="K35">
        <f t="shared" si="2"/>
        <v>1.1160585365853659</v>
      </c>
      <c r="L35">
        <f t="shared" si="3"/>
        <v>8.8839414634146348</v>
      </c>
    </row>
    <row r="36" spans="5:12">
      <c r="F36">
        <v>0.5</v>
      </c>
      <c r="G36" s="4">
        <f t="shared" si="6"/>
        <v>281.25</v>
      </c>
      <c r="H36" s="4">
        <f t="shared" si="7"/>
        <v>43.362499999999997</v>
      </c>
      <c r="J36">
        <f t="shared" si="1"/>
        <v>6.392045454545455</v>
      </c>
      <c r="K36">
        <f t="shared" si="2"/>
        <v>1.0576219512195122</v>
      </c>
      <c r="L36">
        <f t="shared" si="3"/>
        <v>8.9423780487804869</v>
      </c>
    </row>
    <row r="37" spans="5:12">
      <c r="F37">
        <v>0.6</v>
      </c>
      <c r="G37" s="4">
        <f t="shared" si="6"/>
        <v>305.92</v>
      </c>
      <c r="H37" s="4">
        <f t="shared" si="7"/>
        <v>47.377600000000001</v>
      </c>
      <c r="J37">
        <f t="shared" si="1"/>
        <v>6.9527272727272731</v>
      </c>
      <c r="K37">
        <f t="shared" si="2"/>
        <v>1.1555512195121951</v>
      </c>
      <c r="L37">
        <f t="shared" si="3"/>
        <v>8.8444487804878058</v>
      </c>
    </row>
    <row r="38" spans="5:12">
      <c r="F38">
        <v>0.7</v>
      </c>
      <c r="G38" s="4">
        <f t="shared" si="6"/>
        <v>329.51</v>
      </c>
      <c r="H38" s="4">
        <f t="shared" si="7"/>
        <v>58.926299999999991</v>
      </c>
      <c r="J38">
        <f t="shared" si="1"/>
        <v>7.4888636363636367</v>
      </c>
      <c r="K38">
        <f t="shared" si="2"/>
        <v>1.4372268292682926</v>
      </c>
      <c r="L38">
        <f t="shared" si="3"/>
        <v>8.5627731707317079</v>
      </c>
    </row>
    <row r="39" spans="5:12">
      <c r="F39">
        <v>0.8</v>
      </c>
      <c r="G39" s="4">
        <f t="shared" si="6"/>
        <v>350.64</v>
      </c>
      <c r="H39" s="4">
        <f t="shared" si="7"/>
        <v>79.131200000000007</v>
      </c>
      <c r="J39">
        <f t="shared" si="1"/>
        <v>7.9690909090909088</v>
      </c>
      <c r="K39">
        <f t="shared" si="2"/>
        <v>1.9300292682926832</v>
      </c>
      <c r="L39">
        <f t="shared" si="3"/>
        <v>8.0699707317073166</v>
      </c>
    </row>
    <row r="40" spans="5:12">
      <c r="F40">
        <v>0.9</v>
      </c>
      <c r="G40" s="4">
        <f t="shared" si="6"/>
        <v>367.93</v>
      </c>
      <c r="H40" s="4">
        <f t="shared" si="7"/>
        <v>109.11490000000001</v>
      </c>
      <c r="J40">
        <f t="shared" si="1"/>
        <v>8.3620454545454557</v>
      </c>
      <c r="K40">
        <f t="shared" si="2"/>
        <v>2.6613390243902439</v>
      </c>
      <c r="L40">
        <f t="shared" si="3"/>
        <v>7.3386609756097556</v>
      </c>
    </row>
    <row r="41" spans="5:12">
      <c r="F41">
        <v>1</v>
      </c>
      <c r="G41" s="4">
        <f t="shared" si="6"/>
        <v>380</v>
      </c>
      <c r="H41" s="4">
        <f t="shared" si="7"/>
        <v>150</v>
      </c>
      <c r="J41">
        <f t="shared" si="1"/>
        <v>8.6363636363636367</v>
      </c>
      <c r="K41">
        <f t="shared" si="2"/>
        <v>3.6585365853658538</v>
      </c>
      <c r="L41">
        <f t="shared" si="3"/>
        <v>6.3414634146341466</v>
      </c>
    </row>
    <row r="42" spans="5:12">
      <c r="E42" s="16">
        <v>3</v>
      </c>
      <c r="F42" s="1">
        <v>0</v>
      </c>
      <c r="G42" s="4">
        <f>mLib.Bezier(G$11,H$11,I$11,J$11,$F42)</f>
        <v>380</v>
      </c>
      <c r="H42" s="4">
        <f>mLib.Bezier(G$12,H$12,I$12,J$12,$F42)</f>
        <v>150</v>
      </c>
      <c r="J42">
        <f t="shared" si="1"/>
        <v>8.6363636363636367</v>
      </c>
      <c r="K42">
        <f t="shared" si="2"/>
        <v>3.6585365853658538</v>
      </c>
      <c r="L42">
        <f t="shared" si="3"/>
        <v>6.3414634146341466</v>
      </c>
    </row>
    <row r="43" spans="5:12">
      <c r="E43" s="17"/>
      <c r="F43" s="1">
        <v>0.1</v>
      </c>
      <c r="G43" s="4">
        <f t="shared" ref="G43:G52" si="8">mLib.Bezier(G$11,H$11,I$11,J$11,$F43)</f>
        <v>397.73000000000008</v>
      </c>
      <c r="H43" s="4">
        <f t="shared" ref="H43:H52" si="9">mLib.Bezier(G$12,H$12,I$12,J$12,$F43)</f>
        <v>167.97000000000003</v>
      </c>
      <c r="J43">
        <f t="shared" si="1"/>
        <v>9.0393181818181834</v>
      </c>
      <c r="K43">
        <f t="shared" si="2"/>
        <v>4.0968292682926837</v>
      </c>
      <c r="L43">
        <f t="shared" si="3"/>
        <v>5.9031707317073163</v>
      </c>
    </row>
    <row r="44" spans="5:12">
      <c r="E44" s="17"/>
      <c r="F44" s="1">
        <v>0.2</v>
      </c>
      <c r="G44" s="4">
        <f t="shared" si="8"/>
        <v>415.04000000000008</v>
      </c>
      <c r="H44" s="4">
        <f t="shared" si="9"/>
        <v>185.76000000000005</v>
      </c>
      <c r="J44">
        <f t="shared" si="1"/>
        <v>9.4327272727272753</v>
      </c>
      <c r="K44">
        <f t="shared" si="2"/>
        <v>4.5307317073170745</v>
      </c>
      <c r="L44">
        <f t="shared" si="3"/>
        <v>5.4692682926829255</v>
      </c>
    </row>
    <row r="45" spans="5:12">
      <c r="E45" s="17"/>
      <c r="F45" s="1">
        <v>0.3</v>
      </c>
      <c r="G45" s="4">
        <f t="shared" si="8"/>
        <v>432.1099999999999</v>
      </c>
      <c r="H45" s="4">
        <f t="shared" si="9"/>
        <v>203.18999999999997</v>
      </c>
      <c r="J45">
        <f t="shared" si="1"/>
        <v>9.8206818181818161</v>
      </c>
      <c r="K45">
        <f t="shared" si="2"/>
        <v>4.9558536585365847</v>
      </c>
      <c r="L45">
        <f t="shared" si="3"/>
        <v>5.0441463414634153</v>
      </c>
    </row>
    <row r="46" spans="5:12">
      <c r="E46" s="17"/>
      <c r="F46" s="1">
        <v>0.4</v>
      </c>
      <c r="G46" s="4">
        <f t="shared" si="8"/>
        <v>449.12</v>
      </c>
      <c r="H46" s="4">
        <f t="shared" si="9"/>
        <v>220.08</v>
      </c>
      <c r="J46">
        <f t="shared" si="1"/>
        <v>10.207272727272727</v>
      </c>
      <c r="K46">
        <f t="shared" si="2"/>
        <v>5.3678048780487808</v>
      </c>
      <c r="L46">
        <f t="shared" si="3"/>
        <v>4.6321951219512192</v>
      </c>
    </row>
    <row r="47" spans="5:12">
      <c r="E47" s="17"/>
      <c r="F47" s="1">
        <v>0.5</v>
      </c>
      <c r="G47" s="4">
        <f t="shared" si="8"/>
        <v>466.25</v>
      </c>
      <c r="H47" s="4">
        <f t="shared" si="9"/>
        <v>236.25</v>
      </c>
      <c r="J47">
        <f t="shared" si="1"/>
        <v>10.59659090909091</v>
      </c>
      <c r="K47">
        <f t="shared" si="2"/>
        <v>5.76219512195122</v>
      </c>
      <c r="L47">
        <f t="shared" si="3"/>
        <v>4.23780487804878</v>
      </c>
    </row>
    <row r="48" spans="5:12">
      <c r="E48" s="17"/>
      <c r="F48" s="1">
        <v>0.6</v>
      </c>
      <c r="G48" s="4">
        <f t="shared" si="8"/>
        <v>483.68</v>
      </c>
      <c r="H48" s="4">
        <f t="shared" si="9"/>
        <v>251.52</v>
      </c>
      <c r="J48">
        <f t="shared" si="1"/>
        <v>10.992727272727274</v>
      </c>
      <c r="K48">
        <f t="shared" si="2"/>
        <v>6.1346341463414635</v>
      </c>
      <c r="L48">
        <f t="shared" si="3"/>
        <v>3.8653658536585365</v>
      </c>
    </row>
    <row r="49" spans="5:12">
      <c r="E49" s="17"/>
      <c r="F49" s="1">
        <v>0.7</v>
      </c>
      <c r="G49" s="4">
        <f t="shared" si="8"/>
        <v>501.59</v>
      </c>
      <c r="H49" s="4">
        <f t="shared" si="9"/>
        <v>265.70999999999998</v>
      </c>
      <c r="J49">
        <f t="shared" si="1"/>
        <v>11.399772727272728</v>
      </c>
      <c r="K49">
        <f t="shared" si="2"/>
        <v>6.4807317073170729</v>
      </c>
      <c r="L49">
        <f t="shared" si="3"/>
        <v>3.5192682926829271</v>
      </c>
    </row>
    <row r="50" spans="5:12">
      <c r="E50" s="17"/>
      <c r="F50" s="1">
        <v>0.8</v>
      </c>
      <c r="G50" s="4">
        <f t="shared" si="8"/>
        <v>520.16</v>
      </c>
      <c r="H50" s="4">
        <f t="shared" si="9"/>
        <v>278.64</v>
      </c>
      <c r="J50">
        <f t="shared" si="1"/>
        <v>11.821818181818182</v>
      </c>
      <c r="K50">
        <f t="shared" si="2"/>
        <v>6.7960975609756096</v>
      </c>
      <c r="L50">
        <f t="shared" si="3"/>
        <v>3.2039024390243904</v>
      </c>
    </row>
    <row r="51" spans="5:12">
      <c r="E51" s="17"/>
      <c r="F51" s="1">
        <v>0.9</v>
      </c>
      <c r="G51" s="4">
        <f t="shared" si="8"/>
        <v>539.57000000000005</v>
      </c>
      <c r="H51" s="4">
        <f t="shared" si="9"/>
        <v>290.13</v>
      </c>
      <c r="J51">
        <f t="shared" si="1"/>
        <v>12.262954545454546</v>
      </c>
      <c r="K51">
        <f t="shared" si="2"/>
        <v>7.076341463414634</v>
      </c>
      <c r="L51">
        <f t="shared" si="3"/>
        <v>2.923658536585366</v>
      </c>
    </row>
    <row r="52" spans="5:12">
      <c r="E52" s="18"/>
      <c r="F52" s="1">
        <v>1</v>
      </c>
      <c r="G52" s="4">
        <f t="shared" si="8"/>
        <v>560</v>
      </c>
      <c r="H52" s="4">
        <f t="shared" si="9"/>
        <v>300</v>
      </c>
      <c r="J52">
        <f t="shared" ref="J52:J74" si="10">G52*cffX</f>
        <v>12.727272727272728</v>
      </c>
      <c r="K52">
        <f t="shared" ref="K52:K74" si="11">H52*cffY</f>
        <v>7.3170731707317076</v>
      </c>
      <c r="L52">
        <f t="shared" ref="L52:L74" si="12">hghZ-K52</f>
        <v>2.6829268292682924</v>
      </c>
    </row>
    <row r="53" spans="5:12">
      <c r="F53">
        <v>0</v>
      </c>
      <c r="G53" s="4">
        <f>mLib.Bezier(G$13,H$13,I$13,J$13,$F53)</f>
        <v>560</v>
      </c>
      <c r="H53" s="4">
        <f>mLib.Bezier(G$14,H$14,I$14,J$14,$F53)</f>
        <v>300</v>
      </c>
      <c r="J53">
        <f t="shared" si="10"/>
        <v>12.727272727272728</v>
      </c>
      <c r="K53">
        <f t="shared" si="11"/>
        <v>7.3170731707317076</v>
      </c>
      <c r="L53">
        <f t="shared" si="12"/>
        <v>2.6829268292682924</v>
      </c>
    </row>
    <row r="54" spans="5:12">
      <c r="F54">
        <v>0.1</v>
      </c>
      <c r="G54" s="4">
        <f t="shared" ref="G54:G63" si="13">mLib.Bezier(G$13,H$13,I$13,J$13,$F54)</f>
        <v>576.37000000000012</v>
      </c>
      <c r="H54" s="4">
        <f t="shared" ref="H54:H63" si="14">mLib.Bezier(G$14,H$14,I$14,J$14,$F54)</f>
        <v>279.51000000000005</v>
      </c>
      <c r="J54">
        <f t="shared" si="10"/>
        <v>13.099318181818186</v>
      </c>
      <c r="K54">
        <f t="shared" si="11"/>
        <v>6.8173170731707335</v>
      </c>
      <c r="L54">
        <f t="shared" si="12"/>
        <v>3.1826829268292665</v>
      </c>
    </row>
    <row r="55" spans="5:12">
      <c r="F55">
        <v>0.2</v>
      </c>
      <c r="G55" s="4">
        <f t="shared" si="13"/>
        <v>594.96000000000015</v>
      </c>
      <c r="H55" s="4">
        <f t="shared" si="14"/>
        <v>265.68000000000006</v>
      </c>
      <c r="J55">
        <f t="shared" si="10"/>
        <v>13.521818181818185</v>
      </c>
      <c r="K55">
        <f t="shared" si="11"/>
        <v>6.4800000000000022</v>
      </c>
      <c r="L55">
        <f t="shared" si="12"/>
        <v>3.5199999999999978</v>
      </c>
    </row>
    <row r="56" spans="5:12">
      <c r="F56">
        <v>0.3</v>
      </c>
      <c r="G56" s="4">
        <f t="shared" si="13"/>
        <v>614.9899999999999</v>
      </c>
      <c r="H56" s="4">
        <f t="shared" si="14"/>
        <v>257.96999999999997</v>
      </c>
      <c r="J56">
        <f t="shared" si="10"/>
        <v>13.977045454545452</v>
      </c>
      <c r="K56">
        <f t="shared" si="11"/>
        <v>6.2919512195121943</v>
      </c>
      <c r="L56">
        <f t="shared" si="12"/>
        <v>3.7080487804878057</v>
      </c>
    </row>
    <row r="57" spans="5:12">
      <c r="F57">
        <v>0.4</v>
      </c>
      <c r="G57" s="4">
        <f t="shared" si="13"/>
        <v>635.68000000000006</v>
      </c>
      <c r="H57" s="4">
        <f t="shared" si="14"/>
        <v>255.84</v>
      </c>
      <c r="J57">
        <f t="shared" si="10"/>
        <v>14.447272727272729</v>
      </c>
      <c r="K57">
        <f t="shared" si="11"/>
        <v>6.24</v>
      </c>
      <c r="L57">
        <f t="shared" si="12"/>
        <v>3.76</v>
      </c>
    </row>
    <row r="58" spans="5:12">
      <c r="F58">
        <v>0.5</v>
      </c>
      <c r="G58" s="4">
        <f t="shared" si="13"/>
        <v>656.25</v>
      </c>
      <c r="H58" s="4">
        <f t="shared" si="14"/>
        <v>258.75</v>
      </c>
      <c r="J58">
        <f t="shared" si="10"/>
        <v>14.914772727272728</v>
      </c>
      <c r="K58">
        <f t="shared" si="11"/>
        <v>6.3109756097560981</v>
      </c>
      <c r="L58">
        <f t="shared" si="12"/>
        <v>3.6890243902439019</v>
      </c>
    </row>
    <row r="59" spans="5:12">
      <c r="F59">
        <v>0.6</v>
      </c>
      <c r="G59" s="4">
        <f t="shared" si="13"/>
        <v>675.92</v>
      </c>
      <c r="H59" s="4">
        <f t="shared" si="14"/>
        <v>266.16000000000003</v>
      </c>
      <c r="J59">
        <f t="shared" si="10"/>
        <v>15.361818181818181</v>
      </c>
      <c r="K59">
        <f t="shared" si="11"/>
        <v>6.4917073170731712</v>
      </c>
      <c r="L59">
        <f t="shared" si="12"/>
        <v>3.5082926829268288</v>
      </c>
    </row>
    <row r="60" spans="5:12">
      <c r="F60">
        <v>0.7</v>
      </c>
      <c r="G60" s="4">
        <f t="shared" si="13"/>
        <v>693.91</v>
      </c>
      <c r="H60" s="4">
        <f t="shared" si="14"/>
        <v>277.52999999999997</v>
      </c>
      <c r="J60">
        <f t="shared" si="10"/>
        <v>15.770681818181817</v>
      </c>
      <c r="K60">
        <f t="shared" si="11"/>
        <v>6.769024390243902</v>
      </c>
      <c r="L60">
        <f t="shared" si="12"/>
        <v>3.230975609756098</v>
      </c>
    </row>
    <row r="61" spans="5:12">
      <c r="F61">
        <v>0.8</v>
      </c>
      <c r="G61" s="4">
        <f t="shared" si="13"/>
        <v>709.44</v>
      </c>
      <c r="H61" s="4">
        <f t="shared" si="14"/>
        <v>292.32</v>
      </c>
      <c r="J61">
        <f t="shared" si="10"/>
        <v>16.123636363636365</v>
      </c>
      <c r="K61">
        <f t="shared" si="11"/>
        <v>7.1297560975609757</v>
      </c>
      <c r="L61">
        <f t="shared" si="12"/>
        <v>2.8702439024390243</v>
      </c>
    </row>
    <row r="62" spans="5:12">
      <c r="F62">
        <v>0.9</v>
      </c>
      <c r="G62" s="4">
        <f t="shared" si="13"/>
        <v>721.73</v>
      </c>
      <c r="H62" s="4">
        <f t="shared" si="14"/>
        <v>309.99</v>
      </c>
      <c r="J62">
        <f t="shared" si="10"/>
        <v>16.402954545454545</v>
      </c>
      <c r="K62">
        <f t="shared" si="11"/>
        <v>7.5607317073170739</v>
      </c>
      <c r="L62">
        <f t="shared" si="12"/>
        <v>2.4392682926829261</v>
      </c>
    </row>
    <row r="63" spans="5:12">
      <c r="F63">
        <v>1</v>
      </c>
      <c r="G63" s="4">
        <f t="shared" si="13"/>
        <v>730</v>
      </c>
      <c r="H63" s="4">
        <f t="shared" si="14"/>
        <v>330</v>
      </c>
      <c r="J63">
        <f t="shared" si="10"/>
        <v>16.59090909090909</v>
      </c>
      <c r="K63">
        <f t="shared" si="11"/>
        <v>8.0487804878048781</v>
      </c>
      <c r="L63">
        <f t="shared" si="12"/>
        <v>1.9512195121951219</v>
      </c>
    </row>
    <row r="64" spans="5:12">
      <c r="E64" s="16">
        <v>5</v>
      </c>
      <c r="F64" s="1">
        <v>0</v>
      </c>
      <c r="G64" s="4">
        <f>mLib.Bezier(G$15,H$15,I$15,J$15,$F64)</f>
        <v>730</v>
      </c>
      <c r="H64" s="4">
        <f>mLib.Bezier(G$16,H$16,I$16,J$16,$F64)</f>
        <v>330</v>
      </c>
      <c r="J64">
        <f t="shared" si="10"/>
        <v>16.59090909090909</v>
      </c>
      <c r="K64">
        <f t="shared" si="11"/>
        <v>8.0487804878048781</v>
      </c>
      <c r="L64">
        <f t="shared" si="12"/>
        <v>1.9512195121951219</v>
      </c>
    </row>
    <row r="65" spans="5:12">
      <c r="E65" s="17"/>
      <c r="F65" s="1">
        <v>0.1</v>
      </c>
      <c r="G65" s="4">
        <f t="shared" ref="G65:G74" si="15">mLib.Bezier(G$15,H$15,I$15,J$15,$F65)</f>
        <v>781.67000000000007</v>
      </c>
      <c r="H65" s="4">
        <f t="shared" ref="H65:H74" si="16">mLib.Bezier(G$16,H$16,I$16,J$16,$F65)</f>
        <v>286.07000000000005</v>
      </c>
      <c r="J65">
        <f t="shared" si="10"/>
        <v>17.765227272727277</v>
      </c>
      <c r="K65">
        <f t="shared" si="11"/>
        <v>6.9773170731707328</v>
      </c>
      <c r="L65">
        <f t="shared" si="12"/>
        <v>3.0226829268292672</v>
      </c>
    </row>
    <row r="66" spans="5:12">
      <c r="E66" s="17"/>
      <c r="F66" s="1">
        <v>0.2</v>
      </c>
      <c r="G66" s="4">
        <f t="shared" si="15"/>
        <v>833.76000000000022</v>
      </c>
      <c r="H66" s="4">
        <f t="shared" si="16"/>
        <v>260.56000000000006</v>
      </c>
      <c r="J66">
        <f t="shared" si="10"/>
        <v>18.949090909090916</v>
      </c>
      <c r="K66">
        <f t="shared" si="11"/>
        <v>6.3551219512195143</v>
      </c>
      <c r="L66">
        <f t="shared" si="12"/>
        <v>3.6448780487804857</v>
      </c>
    </row>
    <row r="67" spans="5:12">
      <c r="E67" s="17"/>
      <c r="F67" s="1">
        <v>0.3</v>
      </c>
      <c r="G67" s="4">
        <f t="shared" si="15"/>
        <v>884.88999999999987</v>
      </c>
      <c r="H67" s="4">
        <f t="shared" si="16"/>
        <v>250.88999999999996</v>
      </c>
      <c r="J67">
        <f t="shared" si="10"/>
        <v>20.111136363636362</v>
      </c>
      <c r="K67">
        <f t="shared" si="11"/>
        <v>6.1192682926829258</v>
      </c>
      <c r="L67">
        <f t="shared" si="12"/>
        <v>3.8807317073170742</v>
      </c>
    </row>
    <row r="68" spans="5:12">
      <c r="E68" s="17"/>
      <c r="F68" s="1">
        <v>0.4</v>
      </c>
      <c r="G68" s="4">
        <f t="shared" si="15"/>
        <v>933.68000000000006</v>
      </c>
      <c r="H68" s="4">
        <f t="shared" si="16"/>
        <v>254.48</v>
      </c>
      <c r="J68">
        <f t="shared" si="10"/>
        <v>21.220000000000002</v>
      </c>
      <c r="K68">
        <f t="shared" si="11"/>
        <v>6.2068292682926831</v>
      </c>
      <c r="L68">
        <f t="shared" si="12"/>
        <v>3.7931707317073169</v>
      </c>
    </row>
    <row r="69" spans="5:12">
      <c r="E69" s="17"/>
      <c r="F69" s="1">
        <v>0.5</v>
      </c>
      <c r="G69" s="4">
        <f t="shared" si="15"/>
        <v>978.75</v>
      </c>
      <c r="H69" s="4">
        <f t="shared" si="16"/>
        <v>268.75</v>
      </c>
      <c r="J69">
        <f t="shared" si="10"/>
        <v>22.244318181818183</v>
      </c>
      <c r="K69">
        <f t="shared" si="11"/>
        <v>6.5548780487804876</v>
      </c>
      <c r="L69">
        <f t="shared" si="12"/>
        <v>3.4451219512195124</v>
      </c>
    </row>
    <row r="70" spans="5:12">
      <c r="E70" s="17"/>
      <c r="F70" s="1">
        <v>0.6</v>
      </c>
      <c r="G70" s="4">
        <f t="shared" si="15"/>
        <v>1018.72</v>
      </c>
      <c r="H70" s="4">
        <f t="shared" si="16"/>
        <v>291.12</v>
      </c>
      <c r="J70">
        <f t="shared" si="10"/>
        <v>23.152727272727272</v>
      </c>
      <c r="K70">
        <f t="shared" si="11"/>
        <v>7.1004878048780489</v>
      </c>
      <c r="L70">
        <f t="shared" si="12"/>
        <v>2.8995121951219511</v>
      </c>
    </row>
    <row r="71" spans="5:12">
      <c r="E71" s="17"/>
      <c r="F71" s="1">
        <v>0.7</v>
      </c>
      <c r="G71" s="4">
        <f t="shared" si="15"/>
        <v>1052.21</v>
      </c>
      <c r="H71" s="4">
        <f t="shared" si="16"/>
        <v>319.01</v>
      </c>
      <c r="J71">
        <f t="shared" si="10"/>
        <v>23.913863636363637</v>
      </c>
      <c r="K71">
        <f t="shared" si="11"/>
        <v>7.7807317073170736</v>
      </c>
      <c r="L71">
        <f t="shared" si="12"/>
        <v>2.2192682926829264</v>
      </c>
    </row>
    <row r="72" spans="5:12">
      <c r="E72" s="17"/>
      <c r="F72" s="1">
        <v>0.8</v>
      </c>
      <c r="G72" s="4">
        <f t="shared" si="15"/>
        <v>1077.8399999999999</v>
      </c>
      <c r="H72" s="4">
        <f t="shared" si="16"/>
        <v>349.84000000000003</v>
      </c>
      <c r="J72">
        <f t="shared" si="10"/>
        <v>24.496363636363636</v>
      </c>
      <c r="K72">
        <f t="shared" si="11"/>
        <v>8.5326829268292688</v>
      </c>
      <c r="L72">
        <f t="shared" si="12"/>
        <v>1.4673170731707312</v>
      </c>
    </row>
    <row r="73" spans="5:12">
      <c r="E73" s="17"/>
      <c r="F73" s="1">
        <v>0.9</v>
      </c>
      <c r="G73" s="4">
        <f t="shared" si="15"/>
        <v>1094.23</v>
      </c>
      <c r="H73" s="4">
        <f t="shared" si="16"/>
        <v>381.03000000000003</v>
      </c>
      <c r="J73">
        <f t="shared" si="10"/>
        <v>24.868863636363638</v>
      </c>
      <c r="K73">
        <f t="shared" si="11"/>
        <v>9.2934146341463428</v>
      </c>
      <c r="L73">
        <f t="shared" si="12"/>
        <v>0.70658536585365717</v>
      </c>
    </row>
    <row r="74" spans="5:12">
      <c r="E74" s="18"/>
      <c r="F74" s="1">
        <v>1</v>
      </c>
      <c r="G74" s="4">
        <f t="shared" si="15"/>
        <v>1100</v>
      </c>
      <c r="H74" s="4">
        <f t="shared" si="16"/>
        <v>410</v>
      </c>
      <c r="J74">
        <f t="shared" si="10"/>
        <v>25</v>
      </c>
      <c r="K74">
        <f t="shared" si="11"/>
        <v>10</v>
      </c>
      <c r="L74">
        <f t="shared" si="12"/>
        <v>0</v>
      </c>
    </row>
    <row r="75" spans="5:12"/>
    <row r="76" spans="5:12"/>
    <row r="77" spans="5:12"/>
    <row r="78" spans="5:12"/>
    <row r="79" spans="5:12"/>
    <row r="80" spans="5:12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</sheetData>
  <mergeCells count="3">
    <mergeCell ref="E42:E52"/>
    <mergeCell ref="E11:E15"/>
    <mergeCell ref="E64:E7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B57"/>
  <sheetViews>
    <sheetView workbookViewId="0">
      <selection activeCell="C1" sqref="C1"/>
    </sheetView>
  </sheetViews>
  <sheetFormatPr defaultColWidth="0" defaultRowHeight="15" zeroHeight="1"/>
  <cols>
    <col min="1" max="6" width="9.140625" customWidth="1"/>
    <col min="7" max="16384" width="9.140625" hidden="1"/>
  </cols>
  <sheetData>
    <row r="1" spans="1:2">
      <c r="A1">
        <v>2.1</v>
      </c>
      <c r="B1">
        <v>64</v>
      </c>
    </row>
    <row r="2" spans="1:2">
      <c r="A2">
        <v>4.466800000000001</v>
      </c>
      <c r="B2">
        <v>55.852000000000004</v>
      </c>
    </row>
    <row r="3" spans="1:2">
      <c r="A3">
        <v>9.8144000000000027</v>
      </c>
      <c r="B3">
        <v>45.736000000000011</v>
      </c>
    </row>
    <row r="4" spans="1:2">
      <c r="A4">
        <v>18.393599999999996</v>
      </c>
      <c r="B4">
        <v>35.343999999999994</v>
      </c>
    </row>
    <row r="5" spans="1:2">
      <c r="A5">
        <v>30.455200000000001</v>
      </c>
      <c r="B5">
        <v>26.367999999999999</v>
      </c>
    </row>
    <row r="6" spans="1:2">
      <c r="A6">
        <v>46.25</v>
      </c>
      <c r="B6">
        <v>20.5</v>
      </c>
    </row>
    <row r="7" spans="1:2">
      <c r="A7">
        <v>66.02879999999999</v>
      </c>
      <c r="B7">
        <v>19.432000000000002</v>
      </c>
    </row>
    <row r="8" spans="1:2">
      <c r="A8">
        <v>90.042399999999986</v>
      </c>
      <c r="B8">
        <v>24.855999999999995</v>
      </c>
    </row>
    <row r="9" spans="1:2">
      <c r="A9">
        <v>118.54160000000002</v>
      </c>
      <c r="B9">
        <v>38.464000000000006</v>
      </c>
    </row>
    <row r="10" spans="1:2">
      <c r="A10">
        <v>151.77720000000002</v>
      </c>
      <c r="B10">
        <v>61.948000000000008</v>
      </c>
    </row>
    <row r="11" spans="1:2">
      <c r="A11">
        <v>190</v>
      </c>
      <c r="B11">
        <v>97</v>
      </c>
    </row>
    <row r="12" spans="1:2">
      <c r="A12">
        <v>190</v>
      </c>
      <c r="B12">
        <v>97</v>
      </c>
    </row>
    <row r="13" spans="1:2">
      <c r="A13">
        <v>199.37000000000003</v>
      </c>
      <c r="B13">
        <v>80.18610000000001</v>
      </c>
    </row>
    <row r="14" spans="1:2">
      <c r="A14">
        <v>214.56000000000006</v>
      </c>
      <c r="B14">
        <v>65.292800000000014</v>
      </c>
    </row>
    <row r="15" spans="1:2">
      <c r="A15">
        <v>234.18999999999997</v>
      </c>
      <c r="B15">
        <v>53.442699999999988</v>
      </c>
    </row>
    <row r="16" spans="1:2">
      <c r="A16">
        <v>256.88</v>
      </c>
      <c r="B16">
        <v>45.758400000000002</v>
      </c>
    </row>
    <row r="17" spans="1:2">
      <c r="A17">
        <v>281.25</v>
      </c>
      <c r="B17">
        <v>43.362499999999997</v>
      </c>
    </row>
    <row r="18" spans="1:2">
      <c r="A18">
        <v>305.92</v>
      </c>
      <c r="B18">
        <v>47.377600000000001</v>
      </c>
    </row>
    <row r="19" spans="1:2">
      <c r="A19">
        <v>329.51</v>
      </c>
      <c r="B19">
        <v>58.926299999999991</v>
      </c>
    </row>
    <row r="20" spans="1:2">
      <c r="A20">
        <v>350.64</v>
      </c>
      <c r="B20">
        <v>79.131200000000007</v>
      </c>
    </row>
    <row r="21" spans="1:2">
      <c r="A21">
        <v>367.93</v>
      </c>
      <c r="B21">
        <v>109.11490000000001</v>
      </c>
    </row>
    <row r="22" spans="1:2">
      <c r="A22">
        <v>380</v>
      </c>
      <c r="B22">
        <v>150</v>
      </c>
    </row>
    <row r="23" spans="1:2">
      <c r="A23">
        <v>380</v>
      </c>
      <c r="B23">
        <v>150</v>
      </c>
    </row>
    <row r="24" spans="1:2">
      <c r="A24">
        <v>397.73000000000008</v>
      </c>
      <c r="B24">
        <v>167.97000000000003</v>
      </c>
    </row>
    <row r="25" spans="1:2">
      <c r="A25">
        <v>415.04000000000008</v>
      </c>
      <c r="B25">
        <v>185.76000000000005</v>
      </c>
    </row>
    <row r="26" spans="1:2">
      <c r="A26">
        <v>432.1099999999999</v>
      </c>
      <c r="B26">
        <v>203.18999999999997</v>
      </c>
    </row>
    <row r="27" spans="1:2">
      <c r="A27">
        <v>449.12</v>
      </c>
      <c r="B27">
        <v>220.08</v>
      </c>
    </row>
    <row r="28" spans="1:2">
      <c r="A28">
        <v>466.25</v>
      </c>
      <c r="B28">
        <v>236.25</v>
      </c>
    </row>
    <row r="29" spans="1:2">
      <c r="A29">
        <v>483.68</v>
      </c>
      <c r="B29">
        <v>251.52</v>
      </c>
    </row>
    <row r="30" spans="1:2">
      <c r="A30">
        <v>501.59</v>
      </c>
      <c r="B30">
        <v>265.70999999999998</v>
      </c>
    </row>
    <row r="31" spans="1:2">
      <c r="A31">
        <v>520.16</v>
      </c>
      <c r="B31">
        <v>278.64</v>
      </c>
    </row>
    <row r="32" spans="1:2">
      <c r="A32">
        <v>539.57000000000005</v>
      </c>
      <c r="B32">
        <v>290.13</v>
      </c>
    </row>
    <row r="33" spans="1:2">
      <c r="A33">
        <v>560</v>
      </c>
      <c r="B33">
        <v>300</v>
      </c>
    </row>
    <row r="34" spans="1:2">
      <c r="A34">
        <v>560</v>
      </c>
      <c r="B34">
        <v>300</v>
      </c>
    </row>
    <row r="35" spans="1:2">
      <c r="A35">
        <v>576.37000000000012</v>
      </c>
      <c r="B35">
        <v>279.51000000000005</v>
      </c>
    </row>
    <row r="36" spans="1:2">
      <c r="A36">
        <v>594.96000000000015</v>
      </c>
      <c r="B36">
        <v>265.68000000000006</v>
      </c>
    </row>
    <row r="37" spans="1:2">
      <c r="A37">
        <v>614.9899999999999</v>
      </c>
      <c r="B37">
        <v>257.96999999999997</v>
      </c>
    </row>
    <row r="38" spans="1:2">
      <c r="A38">
        <v>635.68000000000006</v>
      </c>
      <c r="B38">
        <v>255.84</v>
      </c>
    </row>
    <row r="39" spans="1:2">
      <c r="A39">
        <v>656.25</v>
      </c>
      <c r="B39">
        <v>258.75</v>
      </c>
    </row>
    <row r="40" spans="1:2">
      <c r="A40">
        <v>675.92</v>
      </c>
      <c r="B40">
        <v>266.16000000000003</v>
      </c>
    </row>
    <row r="41" spans="1:2">
      <c r="A41">
        <v>693.91</v>
      </c>
      <c r="B41">
        <v>277.52999999999997</v>
      </c>
    </row>
    <row r="42" spans="1:2">
      <c r="A42">
        <v>709.44</v>
      </c>
      <c r="B42">
        <v>292.32</v>
      </c>
    </row>
    <row r="43" spans="1:2">
      <c r="A43">
        <v>721.73</v>
      </c>
      <c r="B43">
        <v>309.99</v>
      </c>
    </row>
    <row r="44" spans="1:2">
      <c r="A44">
        <v>730</v>
      </c>
      <c r="B44">
        <v>330</v>
      </c>
    </row>
    <row r="45" spans="1:2">
      <c r="A45">
        <v>730</v>
      </c>
      <c r="B45">
        <v>330</v>
      </c>
    </row>
    <row r="46" spans="1:2">
      <c r="A46">
        <v>781.67000000000007</v>
      </c>
      <c r="B46">
        <v>286.07000000000005</v>
      </c>
    </row>
    <row r="47" spans="1:2">
      <c r="A47">
        <v>833.76000000000022</v>
      </c>
      <c r="B47">
        <v>260.56000000000006</v>
      </c>
    </row>
    <row r="48" spans="1:2">
      <c r="A48">
        <v>884.88999999999987</v>
      </c>
      <c r="B48">
        <v>250.88999999999996</v>
      </c>
    </row>
    <row r="49" spans="1:2">
      <c r="A49">
        <v>933.68000000000006</v>
      </c>
      <c r="B49">
        <v>254.48</v>
      </c>
    </row>
    <row r="50" spans="1:2">
      <c r="A50">
        <v>978.75</v>
      </c>
      <c r="B50">
        <v>268.75</v>
      </c>
    </row>
    <row r="51" spans="1:2">
      <c r="A51">
        <v>1018.72</v>
      </c>
      <c r="B51">
        <v>291.12</v>
      </c>
    </row>
    <row r="52" spans="1:2">
      <c r="A52">
        <v>1052.21</v>
      </c>
      <c r="B52">
        <v>319.01</v>
      </c>
    </row>
    <row r="53" spans="1:2">
      <c r="A53">
        <v>1077.8399999999999</v>
      </c>
      <c r="B53">
        <v>349.84000000000003</v>
      </c>
    </row>
    <row r="54" spans="1:2">
      <c r="A54">
        <v>1094.23</v>
      </c>
      <c r="B54">
        <v>381.03000000000003</v>
      </c>
    </row>
    <row r="55" spans="1:2">
      <c r="A55">
        <v>1100</v>
      </c>
      <c r="B55">
        <v>410</v>
      </c>
    </row>
    <row r="56" spans="1:2"/>
    <row r="57" spans="1:2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2"/>
  <dimension ref="A1:X149"/>
  <sheetViews>
    <sheetView workbookViewId="0">
      <selection activeCell="A2" sqref="A2"/>
    </sheetView>
  </sheetViews>
  <sheetFormatPr defaultColWidth="0" defaultRowHeight="15" zeroHeight="1"/>
  <cols>
    <col min="1" max="6" width="9.140625" customWidth="1"/>
    <col min="7" max="7" width="11.28515625" customWidth="1"/>
    <col min="8" max="24" width="9.140625" customWidth="1"/>
    <col min="25" max="16384" width="9.140625" hidden="1"/>
  </cols>
  <sheetData>
    <row r="1" spans="1:10">
      <c r="A1" t="s">
        <v>81</v>
      </c>
    </row>
    <row r="2" spans="1:10"/>
    <row r="3" spans="1:10"/>
    <row r="4" spans="1:10"/>
    <row r="5" spans="1:10">
      <c r="H5">
        <v>1</v>
      </c>
      <c r="I5">
        <v>2</v>
      </c>
      <c r="J5">
        <v>3</v>
      </c>
    </row>
    <row r="6" spans="1:10">
      <c r="E6">
        <v>3</v>
      </c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D7">
        <v>0</v>
      </c>
      <c r="E7">
        <f t="shared" ref="E7:E24" si="0">D7*kBEZ</f>
        <v>0</v>
      </c>
      <c r="F7" s="8" t="s">
        <v>55</v>
      </c>
      <c r="G7" s="1">
        <f>A11</f>
        <v>170</v>
      </c>
      <c r="H7" s="1">
        <f>$G7+A13</f>
        <v>200</v>
      </c>
      <c r="I7" s="1">
        <f>$G7+A14</f>
        <v>240</v>
      </c>
      <c r="J7" s="1">
        <f>$G7+A15</f>
        <v>260</v>
      </c>
    </row>
    <row r="8" spans="1:10">
      <c r="D8">
        <v>0</v>
      </c>
      <c r="E8">
        <f t="shared" si="0"/>
        <v>0</v>
      </c>
      <c r="F8" s="8" t="s">
        <v>56</v>
      </c>
      <c r="G8" s="1">
        <f>B11</f>
        <v>540</v>
      </c>
      <c r="H8" s="1">
        <f>$G8+$B13</f>
        <v>540</v>
      </c>
      <c r="I8" s="1">
        <f>$G8+$B14</f>
        <v>590</v>
      </c>
      <c r="J8" s="1">
        <f>$G8+$B15</f>
        <v>560</v>
      </c>
    </row>
    <row r="9" spans="1:10">
      <c r="D9">
        <v>1</v>
      </c>
      <c r="E9">
        <f t="shared" si="0"/>
        <v>3</v>
      </c>
      <c r="G9">
        <f t="shared" ref="G9:G16" si="1">J7</f>
        <v>260</v>
      </c>
      <c r="H9">
        <f>$G9+A16</f>
        <v>330</v>
      </c>
      <c r="I9">
        <f>$G9+A17</f>
        <v>410</v>
      </c>
      <c r="J9">
        <f>$G9+A18</f>
        <v>440</v>
      </c>
    </row>
    <row r="10" spans="1:10">
      <c r="A10" t="s">
        <v>82</v>
      </c>
      <c r="D10">
        <v>1</v>
      </c>
      <c r="E10">
        <f t="shared" si="0"/>
        <v>3</v>
      </c>
      <c r="G10">
        <f t="shared" si="1"/>
        <v>560</v>
      </c>
      <c r="H10">
        <f>$G10+$B16</f>
        <v>460</v>
      </c>
      <c r="I10">
        <f>$G10+$B17</f>
        <v>450</v>
      </c>
      <c r="J10">
        <f>$G10+$B18</f>
        <v>470</v>
      </c>
    </row>
    <row r="11" spans="1:10">
      <c r="A11">
        <v>170</v>
      </c>
      <c r="B11">
        <v>540</v>
      </c>
      <c r="D11">
        <v>2</v>
      </c>
      <c r="E11">
        <f t="shared" si="0"/>
        <v>6</v>
      </c>
      <c r="F11" s="8" t="s">
        <v>55</v>
      </c>
      <c r="G11" s="1">
        <f t="shared" si="1"/>
        <v>440</v>
      </c>
      <c r="H11" s="1">
        <f>$G11+A19</f>
        <v>460</v>
      </c>
      <c r="I11" s="1">
        <f>$G11+A20</f>
        <v>410</v>
      </c>
      <c r="J11" s="1">
        <f>$G11+A21</f>
        <v>390</v>
      </c>
    </row>
    <row r="12" spans="1:10">
      <c r="A12" t="s">
        <v>59</v>
      </c>
      <c r="D12">
        <v>2</v>
      </c>
      <c r="E12">
        <f t="shared" si="0"/>
        <v>6</v>
      </c>
      <c r="F12" s="8" t="s">
        <v>56</v>
      </c>
      <c r="G12" s="1">
        <f t="shared" si="1"/>
        <v>470</v>
      </c>
      <c r="H12" s="1">
        <f>$G12+$B19</f>
        <v>480</v>
      </c>
      <c r="I12" s="1">
        <f>$G12+$B20</f>
        <v>480</v>
      </c>
      <c r="J12" s="1">
        <f>$G12+$B21</f>
        <v>500</v>
      </c>
    </row>
    <row r="13" spans="1:10">
      <c r="A13" s="8">
        <v>30</v>
      </c>
      <c r="B13" s="8">
        <v>0</v>
      </c>
      <c r="C13" s="19">
        <v>0</v>
      </c>
      <c r="D13">
        <v>3</v>
      </c>
      <c r="E13">
        <f t="shared" si="0"/>
        <v>9</v>
      </c>
      <c r="G13">
        <f t="shared" si="1"/>
        <v>390</v>
      </c>
      <c r="H13">
        <f>INDEX(cBEZ,$E13+H$5,1)+$G13</f>
        <v>370</v>
      </c>
      <c r="I13">
        <f>$G13+A23</f>
        <v>400</v>
      </c>
      <c r="J13">
        <f>$G13+A24</f>
        <v>370</v>
      </c>
    </row>
    <row r="14" spans="1:10">
      <c r="A14" s="8">
        <v>70</v>
      </c>
      <c r="B14" s="8">
        <v>50</v>
      </c>
      <c r="C14" s="19"/>
      <c r="D14">
        <v>3</v>
      </c>
      <c r="E14">
        <f t="shared" si="0"/>
        <v>9</v>
      </c>
      <c r="G14">
        <f t="shared" si="1"/>
        <v>500</v>
      </c>
      <c r="H14">
        <f>INDEX(cBEZ,$E14+H$5,2)+$G14</f>
        <v>520</v>
      </c>
      <c r="I14">
        <f>INDEX(cBEZ,$E14+I$5,2)+$G14</f>
        <v>560</v>
      </c>
      <c r="J14">
        <f>INDEX(cBEZ,$E14+J$5,2)+$G14</f>
        <v>610</v>
      </c>
    </row>
    <row r="15" spans="1:10">
      <c r="A15" s="8">
        <v>90</v>
      </c>
      <c r="B15" s="8">
        <v>20</v>
      </c>
      <c r="C15" s="19"/>
      <c r="D15">
        <v>4</v>
      </c>
      <c r="E15">
        <f t="shared" si="0"/>
        <v>12</v>
      </c>
      <c r="F15" s="8" t="s">
        <v>55</v>
      </c>
      <c r="G15" s="1">
        <f t="shared" si="1"/>
        <v>370</v>
      </c>
      <c r="H15" s="1">
        <f>INDEX(cBEZ,$E15+H$5,1)+$G15</f>
        <v>380</v>
      </c>
      <c r="I15" s="1">
        <f>INDEX(cBEZ,$E15+I$5,1)+$G15</f>
        <v>400</v>
      </c>
      <c r="J15" s="1">
        <f>INDEX(cBEZ,$E15+J$5,1)+$G15</f>
        <v>420</v>
      </c>
    </row>
    <row r="16" spans="1:10">
      <c r="A16">
        <v>70</v>
      </c>
      <c r="B16">
        <v>-100</v>
      </c>
      <c r="C16" s="19">
        <v>1</v>
      </c>
      <c r="D16">
        <v>4</v>
      </c>
      <c r="E16">
        <f t="shared" si="0"/>
        <v>12</v>
      </c>
      <c r="F16" s="8" t="s">
        <v>56</v>
      </c>
      <c r="G16" s="1">
        <f t="shared" si="1"/>
        <v>610</v>
      </c>
      <c r="H16" s="1">
        <f>INDEX(cBEZ,$E16+H$5,2)+$G16</f>
        <v>630</v>
      </c>
      <c r="I16" s="1">
        <f>INDEX(cBEZ,$E16+I$5,2)+$G16</f>
        <v>640</v>
      </c>
      <c r="J16" s="1">
        <f>INDEX(cBEZ,$E16+J$5,2)+$G16</f>
        <v>640</v>
      </c>
    </row>
    <row r="17" spans="1:10">
      <c r="A17">
        <v>150</v>
      </c>
      <c r="B17">
        <v>-110</v>
      </c>
      <c r="C17" s="19"/>
      <c r="D17">
        <v>5</v>
      </c>
      <c r="E17">
        <f t="shared" si="0"/>
        <v>15</v>
      </c>
      <c r="G17">
        <f t="shared" ref="G17:G20" si="2">J15</f>
        <v>420</v>
      </c>
      <c r="H17">
        <f>INDEX(cBEZ,$E17+H$5,1)+$G17</f>
        <v>450</v>
      </c>
      <c r="I17">
        <f>INDEX(cBEZ,$E17+I$5,1)+$G17</f>
        <v>480</v>
      </c>
      <c r="J17">
        <f>INDEX(cBEZ,$E17+J$5,1)+$G17</f>
        <v>540</v>
      </c>
    </row>
    <row r="18" spans="1:10">
      <c r="A18">
        <v>180</v>
      </c>
      <c r="B18">
        <v>-90</v>
      </c>
      <c r="C18" s="19"/>
      <c r="D18">
        <v>5</v>
      </c>
      <c r="E18">
        <f t="shared" si="0"/>
        <v>15</v>
      </c>
      <c r="G18">
        <f t="shared" si="2"/>
        <v>640</v>
      </c>
      <c r="H18">
        <f>INDEX(cBEZ,$E18+H$5,2)+$G18</f>
        <v>610</v>
      </c>
      <c r="I18">
        <f>INDEX(cBEZ,$E18+I$5,2)+$G18</f>
        <v>570</v>
      </c>
      <c r="J18">
        <f>INDEX(cBEZ,$E18+J$5,2)+$G18</f>
        <v>540</v>
      </c>
    </row>
    <row r="19" spans="1:10">
      <c r="A19">
        <v>20</v>
      </c>
      <c r="B19" s="1">
        <v>10</v>
      </c>
      <c r="C19" s="19">
        <v>2</v>
      </c>
      <c r="D19">
        <v>6</v>
      </c>
      <c r="E19">
        <f t="shared" si="0"/>
        <v>18</v>
      </c>
      <c r="G19" s="1">
        <f t="shared" si="2"/>
        <v>540</v>
      </c>
      <c r="H19" s="1">
        <f>INDEX(cBEZ,$E19+H$5,1)+$G19</f>
        <v>590</v>
      </c>
      <c r="I19" s="1">
        <f>INDEX(cBEZ,$E19+I$5,1)+$G19</f>
        <v>630</v>
      </c>
      <c r="J19" s="1">
        <f>INDEX(cBEZ,$E19+J$5,1)+$G19</f>
        <v>570</v>
      </c>
    </row>
    <row r="20" spans="1:10">
      <c r="A20">
        <v>-30</v>
      </c>
      <c r="B20" s="1">
        <v>10</v>
      </c>
      <c r="C20" s="19"/>
      <c r="D20">
        <v>6</v>
      </c>
      <c r="E20">
        <f t="shared" si="0"/>
        <v>18</v>
      </c>
      <c r="G20" s="1">
        <f t="shared" si="2"/>
        <v>540</v>
      </c>
      <c r="H20" s="1">
        <f>INDEX(cBEZ,$E20+H$5,2)+$G20</f>
        <v>550</v>
      </c>
      <c r="I20" s="1">
        <f>INDEX(cBEZ,$E20+I$5,2)+$G20</f>
        <v>550</v>
      </c>
      <c r="J20" s="1">
        <f>INDEX(cBEZ,$E20+J$5,2)+$G20</f>
        <v>500</v>
      </c>
    </row>
    <row r="21" spans="1:10">
      <c r="A21">
        <v>-50</v>
      </c>
      <c r="B21" s="1">
        <v>30</v>
      </c>
      <c r="C21" s="19"/>
      <c r="D21">
        <v>7</v>
      </c>
      <c r="E21">
        <f t="shared" si="0"/>
        <v>21</v>
      </c>
      <c r="G21">
        <f t="shared" ref="G21:G24" si="3">J19</f>
        <v>570</v>
      </c>
      <c r="H21">
        <f>INDEX(cBEZ,$E21+H$5,1)+$G21</f>
        <v>580</v>
      </c>
      <c r="I21">
        <f>INDEX(cBEZ,$E21+I$5,1)+$G21</f>
        <v>510</v>
      </c>
      <c r="J21">
        <f>INDEX(cBEZ,$E21+J$5,1)+$G21</f>
        <v>420</v>
      </c>
    </row>
    <row r="22" spans="1:10">
      <c r="A22">
        <v>-20</v>
      </c>
      <c r="B22">
        <v>20</v>
      </c>
      <c r="C22" s="19">
        <v>3</v>
      </c>
      <c r="D22">
        <v>7</v>
      </c>
      <c r="E22">
        <f t="shared" si="0"/>
        <v>21</v>
      </c>
      <c r="G22">
        <f t="shared" si="3"/>
        <v>500</v>
      </c>
      <c r="H22">
        <f>INDEX(cBEZ,$E22+H$5,2)+$G22</f>
        <v>360</v>
      </c>
      <c r="I22">
        <f>INDEX(cBEZ,$E22+I$5,2)+$G22</f>
        <v>330</v>
      </c>
      <c r="J22">
        <f>INDEX(cBEZ,$E22+J$5,2)+$G22</f>
        <v>330</v>
      </c>
    </row>
    <row r="23" spans="1:10">
      <c r="A23">
        <v>10</v>
      </c>
      <c r="B23">
        <v>60</v>
      </c>
      <c r="C23" s="19"/>
      <c r="D23">
        <v>8</v>
      </c>
      <c r="E23">
        <f t="shared" si="0"/>
        <v>24</v>
      </c>
      <c r="G23" s="1">
        <f t="shared" si="3"/>
        <v>420</v>
      </c>
      <c r="H23" s="1">
        <f>INDEX(cBEZ,$E23+H$5,1)+$G23</f>
        <v>330</v>
      </c>
      <c r="I23" s="1">
        <f>INDEX(cBEZ,$E23+I$5,1)+$G23</f>
        <v>270</v>
      </c>
      <c r="J23" s="1">
        <f>INDEX(cBEZ,$E23+J$5,1)+$G23</f>
        <v>170</v>
      </c>
    </row>
    <row r="24" spans="1:10">
      <c r="A24">
        <v>-20</v>
      </c>
      <c r="B24">
        <v>110</v>
      </c>
      <c r="C24" s="19"/>
      <c r="D24">
        <v>8</v>
      </c>
      <c r="E24">
        <f t="shared" si="0"/>
        <v>24</v>
      </c>
      <c r="G24" s="1">
        <f t="shared" si="3"/>
        <v>330</v>
      </c>
      <c r="H24" s="1">
        <f>INDEX(cBEZ,$E24+H$5,2)+$G24</f>
        <v>330</v>
      </c>
      <c r="I24" s="1">
        <f>INDEX(cBEZ,$E24+I$5,2)+$G24</f>
        <v>410</v>
      </c>
      <c r="J24" s="1">
        <f>INDEX(cBEZ,$E24+J$5,2)+$G24</f>
        <v>380</v>
      </c>
    </row>
    <row r="25" spans="1:10">
      <c r="A25">
        <v>10</v>
      </c>
      <c r="B25" s="1">
        <v>20</v>
      </c>
      <c r="C25" s="19">
        <v>4</v>
      </c>
    </row>
    <row r="26" spans="1:10">
      <c r="A26">
        <v>30</v>
      </c>
      <c r="B26" s="1">
        <v>30</v>
      </c>
      <c r="C26" s="19"/>
    </row>
    <row r="27" spans="1:10">
      <c r="A27">
        <v>50</v>
      </c>
      <c r="B27" s="1">
        <v>30</v>
      </c>
      <c r="C27" s="19"/>
    </row>
    <row r="28" spans="1:10">
      <c r="A28">
        <v>30</v>
      </c>
      <c r="B28">
        <v>-30</v>
      </c>
      <c r="C28" s="19">
        <v>5</v>
      </c>
    </row>
    <row r="29" spans="1:10">
      <c r="A29">
        <v>60</v>
      </c>
      <c r="B29">
        <v>-70</v>
      </c>
      <c r="C29" s="19"/>
    </row>
    <row r="30" spans="1:10">
      <c r="A30">
        <v>120</v>
      </c>
      <c r="B30">
        <v>-100</v>
      </c>
      <c r="C30" s="19"/>
      <c r="E30">
        <v>0</v>
      </c>
      <c r="F30" s="1">
        <v>0</v>
      </c>
      <c r="G30">
        <f>mLib.Bezier(G$7,H$7,I$7,J$7,$F30)</f>
        <v>170</v>
      </c>
      <c r="H30">
        <f>mLib.Bezier(G$8,H$8,I$8,J$8,$F30)</f>
        <v>540</v>
      </c>
    </row>
    <row r="31" spans="1:10">
      <c r="A31">
        <v>50</v>
      </c>
      <c r="B31" s="1">
        <v>10</v>
      </c>
      <c r="C31" s="19">
        <v>6</v>
      </c>
      <c r="E31">
        <v>0</v>
      </c>
      <c r="F31" s="1">
        <v>0.1</v>
      </c>
      <c r="G31">
        <f t="shared" ref="G31:G40" si="4">mLib.Bezier(G$7,H$7,I$7,J$7,$F31)</f>
        <v>179.27</v>
      </c>
      <c r="H31">
        <f t="shared" ref="H31:H40" si="5">mLib.Bezier(G$8,H$8,I$8,J$8,$F31)</f>
        <v>541.37000000000012</v>
      </c>
    </row>
    <row r="32" spans="1:10">
      <c r="A32">
        <v>90</v>
      </c>
      <c r="B32" s="1">
        <v>10</v>
      </c>
      <c r="C32" s="19"/>
      <c r="E32">
        <v>0</v>
      </c>
      <c r="F32" s="1">
        <v>0.2</v>
      </c>
      <c r="G32">
        <f t="shared" si="4"/>
        <v>188.96000000000004</v>
      </c>
      <c r="H32">
        <f t="shared" si="5"/>
        <v>544.96000000000015</v>
      </c>
    </row>
    <row r="33" spans="1:8">
      <c r="A33">
        <v>30</v>
      </c>
      <c r="B33" s="1">
        <v>-40</v>
      </c>
      <c r="C33" s="19"/>
      <c r="E33">
        <v>0</v>
      </c>
      <c r="F33" s="1">
        <v>0.3</v>
      </c>
      <c r="G33">
        <f t="shared" si="4"/>
        <v>198.88999999999996</v>
      </c>
      <c r="H33">
        <f t="shared" si="5"/>
        <v>549.9899999999999</v>
      </c>
    </row>
    <row r="34" spans="1:8">
      <c r="A34">
        <v>10</v>
      </c>
      <c r="B34">
        <v>-140</v>
      </c>
      <c r="C34" s="19">
        <v>7</v>
      </c>
      <c r="E34">
        <v>0</v>
      </c>
      <c r="F34" s="1">
        <v>0.4</v>
      </c>
      <c r="G34">
        <f t="shared" si="4"/>
        <v>208.88</v>
      </c>
      <c r="H34">
        <f t="shared" si="5"/>
        <v>555.67999999999995</v>
      </c>
    </row>
    <row r="35" spans="1:8">
      <c r="A35">
        <v>-60</v>
      </c>
      <c r="B35">
        <v>-170</v>
      </c>
      <c r="C35" s="19"/>
      <c r="E35">
        <v>0</v>
      </c>
      <c r="F35" s="1">
        <v>0.5</v>
      </c>
      <c r="G35">
        <f t="shared" si="4"/>
        <v>218.75</v>
      </c>
      <c r="H35">
        <f t="shared" si="5"/>
        <v>561.25</v>
      </c>
    </row>
    <row r="36" spans="1:8">
      <c r="A36">
        <v>-150</v>
      </c>
      <c r="B36">
        <v>-170</v>
      </c>
      <c r="C36" s="19"/>
      <c r="E36">
        <v>0</v>
      </c>
      <c r="F36" s="1">
        <v>0.6</v>
      </c>
      <c r="G36">
        <f t="shared" si="4"/>
        <v>228.32</v>
      </c>
      <c r="H36">
        <f t="shared" si="5"/>
        <v>565.91999999999996</v>
      </c>
    </row>
    <row r="37" spans="1:8">
      <c r="A37">
        <v>-90</v>
      </c>
      <c r="B37" s="1">
        <v>0</v>
      </c>
      <c r="C37" s="19">
        <v>8</v>
      </c>
      <c r="E37">
        <v>0</v>
      </c>
      <c r="F37" s="1">
        <v>0.7</v>
      </c>
      <c r="G37">
        <f t="shared" si="4"/>
        <v>237.41</v>
      </c>
      <c r="H37">
        <f t="shared" si="5"/>
        <v>568.91</v>
      </c>
    </row>
    <row r="38" spans="1:8">
      <c r="A38">
        <v>-150</v>
      </c>
      <c r="B38" s="1">
        <v>80</v>
      </c>
      <c r="C38" s="19"/>
      <c r="E38">
        <v>0</v>
      </c>
      <c r="F38" s="1">
        <v>0.8</v>
      </c>
      <c r="G38">
        <f t="shared" si="4"/>
        <v>245.84</v>
      </c>
      <c r="H38">
        <f t="shared" si="5"/>
        <v>569.43999999999994</v>
      </c>
    </row>
    <row r="39" spans="1:8">
      <c r="A39">
        <v>-250</v>
      </c>
      <c r="B39" s="1">
        <v>50</v>
      </c>
      <c r="C39" s="19"/>
      <c r="E39">
        <v>0</v>
      </c>
      <c r="F39" s="1">
        <v>0.9</v>
      </c>
      <c r="G39">
        <f t="shared" si="4"/>
        <v>253.43</v>
      </c>
      <c r="H39">
        <f t="shared" si="5"/>
        <v>566.73</v>
      </c>
    </row>
    <row r="40" spans="1:8">
      <c r="E40">
        <v>0</v>
      </c>
      <c r="F40" s="1">
        <v>1</v>
      </c>
      <c r="G40">
        <f t="shared" si="4"/>
        <v>260</v>
      </c>
      <c r="H40">
        <f t="shared" si="5"/>
        <v>560</v>
      </c>
    </row>
    <row r="41" spans="1:8">
      <c r="E41">
        <v>1</v>
      </c>
      <c r="F41">
        <v>0</v>
      </c>
      <c r="G41">
        <f>mLib.Bezier(G$9,H$9,I$9,J$9,$F41)</f>
        <v>260</v>
      </c>
      <c r="H41">
        <f>mLib.Bezier(G$10,H$10,I$10,J$10,$F41)</f>
        <v>560</v>
      </c>
    </row>
    <row r="42" spans="1:8">
      <c r="E42">
        <v>1</v>
      </c>
      <c r="F42">
        <v>0.1</v>
      </c>
      <c r="G42">
        <f t="shared" ref="G42:G51" si="6">mLib.Bezier(G$9,H$9,I$9,J$9,$F42)</f>
        <v>281.24</v>
      </c>
      <c r="H42">
        <f>mLib.Bezier(G$10,H$10,I$10,J$10,$F42)</f>
        <v>532.6400000000001</v>
      </c>
    </row>
    <row r="43" spans="1:8">
      <c r="E43">
        <v>1</v>
      </c>
      <c r="F43">
        <v>0.2</v>
      </c>
      <c r="G43">
        <f t="shared" si="6"/>
        <v>302.72000000000008</v>
      </c>
      <c r="H43">
        <f t="shared" ref="H43:H51" si="7">mLib.Bezier(G$10,H$10,I$10,J$10,$F43)</f>
        <v>510.32000000000011</v>
      </c>
    </row>
    <row r="44" spans="1:8">
      <c r="E44">
        <v>1</v>
      </c>
      <c r="F44">
        <v>0.3</v>
      </c>
      <c r="G44">
        <f t="shared" si="6"/>
        <v>324.07999999999993</v>
      </c>
      <c r="H44">
        <f t="shared" si="7"/>
        <v>492.67999999999989</v>
      </c>
    </row>
    <row r="45" spans="1:8">
      <c r="E45">
        <v>1</v>
      </c>
      <c r="F45">
        <v>0.4</v>
      </c>
      <c r="G45">
        <f t="shared" si="6"/>
        <v>344.96000000000004</v>
      </c>
      <c r="H45">
        <f t="shared" si="7"/>
        <v>479.36</v>
      </c>
    </row>
    <row r="46" spans="1:8">
      <c r="E46">
        <v>1</v>
      </c>
      <c r="F46">
        <v>0.5</v>
      </c>
      <c r="G46">
        <f t="shared" si="6"/>
        <v>365</v>
      </c>
      <c r="H46">
        <f t="shared" si="7"/>
        <v>470</v>
      </c>
    </row>
    <row r="47" spans="1:8">
      <c r="E47">
        <v>1</v>
      </c>
      <c r="F47">
        <v>0.6</v>
      </c>
      <c r="G47">
        <f t="shared" si="6"/>
        <v>383.84000000000003</v>
      </c>
      <c r="H47">
        <f t="shared" si="7"/>
        <v>464.24</v>
      </c>
    </row>
    <row r="48" spans="1:8">
      <c r="E48">
        <v>1</v>
      </c>
      <c r="F48">
        <v>0.7</v>
      </c>
      <c r="G48">
        <f t="shared" si="6"/>
        <v>401.12</v>
      </c>
      <c r="H48">
        <f t="shared" si="7"/>
        <v>461.72</v>
      </c>
    </row>
    <row r="49" spans="5:8">
      <c r="E49">
        <v>1</v>
      </c>
      <c r="F49">
        <v>0.8</v>
      </c>
      <c r="G49">
        <f t="shared" si="6"/>
        <v>416.48</v>
      </c>
      <c r="H49">
        <f t="shared" si="7"/>
        <v>462.08</v>
      </c>
    </row>
    <row r="50" spans="5:8">
      <c r="E50">
        <v>1</v>
      </c>
      <c r="F50">
        <v>0.9</v>
      </c>
      <c r="G50">
        <f t="shared" si="6"/>
        <v>429.56</v>
      </c>
      <c r="H50">
        <f t="shared" si="7"/>
        <v>464.96</v>
      </c>
    </row>
    <row r="51" spans="5:8">
      <c r="E51">
        <v>1</v>
      </c>
      <c r="F51">
        <v>1</v>
      </c>
      <c r="G51">
        <f t="shared" si="6"/>
        <v>440</v>
      </c>
      <c r="H51">
        <f t="shared" si="7"/>
        <v>470</v>
      </c>
    </row>
    <row r="52" spans="5:8">
      <c r="E52" s="1">
        <v>2</v>
      </c>
      <c r="F52" s="1">
        <v>0</v>
      </c>
      <c r="G52">
        <f>mLib.Bezier(G$11,H$11,I$11,J$11,$F52)</f>
        <v>440</v>
      </c>
      <c r="H52">
        <f>mLib.Bezier(G$12,H$12,I$12,J$12,$F52)</f>
        <v>470</v>
      </c>
    </row>
    <row r="53" spans="5:8">
      <c r="E53" s="1">
        <v>2</v>
      </c>
      <c r="F53" s="1">
        <v>0.1</v>
      </c>
      <c r="G53">
        <f t="shared" ref="G53:G62" si="8">mLib.Bezier(G$11,H$11,I$11,J$11,$F53)</f>
        <v>444.00000000000006</v>
      </c>
      <c r="H53">
        <f t="shared" ref="H53:H62" si="9">mLib.Bezier(G$12,H$12,I$12,J$12,$F53)</f>
        <v>472.73000000000008</v>
      </c>
    </row>
    <row r="54" spans="5:8">
      <c r="E54" s="1">
        <v>2</v>
      </c>
      <c r="F54" s="1">
        <v>0.2</v>
      </c>
      <c r="G54">
        <f t="shared" si="8"/>
        <v>444.40000000000009</v>
      </c>
      <c r="H54">
        <f t="shared" si="9"/>
        <v>475.04000000000013</v>
      </c>
    </row>
    <row r="55" spans="5:8">
      <c r="E55" s="1">
        <v>2</v>
      </c>
      <c r="F55" s="1">
        <v>0.3</v>
      </c>
      <c r="G55">
        <f t="shared" si="8"/>
        <v>441.7999999999999</v>
      </c>
      <c r="H55">
        <f t="shared" si="9"/>
        <v>477.1099999999999</v>
      </c>
    </row>
    <row r="56" spans="5:8">
      <c r="E56" s="1">
        <v>2</v>
      </c>
      <c r="F56" s="1">
        <v>0.4</v>
      </c>
      <c r="G56">
        <f t="shared" si="8"/>
        <v>436.8</v>
      </c>
      <c r="H56">
        <f t="shared" si="9"/>
        <v>479.12</v>
      </c>
    </row>
    <row r="57" spans="5:8">
      <c r="E57" s="1">
        <v>2</v>
      </c>
      <c r="F57" s="1">
        <v>0.5</v>
      </c>
      <c r="G57">
        <f t="shared" si="8"/>
        <v>430</v>
      </c>
      <c r="H57">
        <f t="shared" si="9"/>
        <v>481.25</v>
      </c>
    </row>
    <row r="58" spans="5:8">
      <c r="E58" s="1">
        <v>2</v>
      </c>
      <c r="F58" s="1">
        <v>0.6</v>
      </c>
      <c r="G58">
        <f t="shared" si="8"/>
        <v>422</v>
      </c>
      <c r="H58">
        <f t="shared" si="9"/>
        <v>483.68</v>
      </c>
    </row>
    <row r="59" spans="5:8">
      <c r="E59" s="1">
        <v>2</v>
      </c>
      <c r="F59" s="1">
        <v>0.7</v>
      </c>
      <c r="G59">
        <f t="shared" si="8"/>
        <v>413.4</v>
      </c>
      <c r="H59">
        <f t="shared" si="9"/>
        <v>486.59</v>
      </c>
    </row>
    <row r="60" spans="5:8">
      <c r="E60" s="1">
        <v>2</v>
      </c>
      <c r="F60" s="1">
        <v>0.8</v>
      </c>
      <c r="G60">
        <f t="shared" si="8"/>
        <v>404.8</v>
      </c>
      <c r="H60">
        <f t="shared" si="9"/>
        <v>490.16</v>
      </c>
    </row>
    <row r="61" spans="5:8">
      <c r="E61" s="1">
        <v>2</v>
      </c>
      <c r="F61" s="1">
        <v>0.9</v>
      </c>
      <c r="G61">
        <f t="shared" si="8"/>
        <v>396.8</v>
      </c>
      <c r="H61">
        <f t="shared" si="9"/>
        <v>494.57</v>
      </c>
    </row>
    <row r="62" spans="5:8">
      <c r="E62" s="1">
        <v>2</v>
      </c>
      <c r="F62" s="1">
        <v>1</v>
      </c>
      <c r="G62">
        <f t="shared" si="8"/>
        <v>390</v>
      </c>
      <c r="H62">
        <f t="shared" si="9"/>
        <v>500</v>
      </c>
    </row>
    <row r="63" spans="5:8">
      <c r="E63">
        <v>3</v>
      </c>
      <c r="F63">
        <v>0</v>
      </c>
      <c r="G63">
        <f>mLib.Bezier(G$13,H$13,I$13,J$13,$F63)</f>
        <v>390</v>
      </c>
      <c r="H63">
        <f>mLib.Bezier(G$14,H$14,I$14,J$14,$F63)</f>
        <v>500</v>
      </c>
    </row>
    <row r="64" spans="5:8">
      <c r="E64">
        <v>3</v>
      </c>
      <c r="F64">
        <v>0.1</v>
      </c>
      <c r="G64">
        <f t="shared" ref="G64:G73" si="10">mLib.Bezier(G$13,H$13,I$13,J$13,$F64)</f>
        <v>385.39000000000004</v>
      </c>
      <c r="H64">
        <f t="shared" ref="H64:H73" si="11">mLib.Bezier(G$14,H$14,I$14,J$14,$F64)</f>
        <v>506.59000000000009</v>
      </c>
    </row>
    <row r="65" spans="5:8">
      <c r="E65">
        <v>3</v>
      </c>
      <c r="F65">
        <v>0.2</v>
      </c>
      <c r="G65">
        <f t="shared" si="10"/>
        <v>383.12000000000012</v>
      </c>
      <c r="H65">
        <f t="shared" si="11"/>
        <v>514.32000000000016</v>
      </c>
    </row>
    <row r="66" spans="5:8">
      <c r="E66">
        <v>3</v>
      </c>
      <c r="F66">
        <v>0.3</v>
      </c>
      <c r="G66">
        <f t="shared" si="10"/>
        <v>382.52999999999992</v>
      </c>
      <c r="H66">
        <f t="shared" si="11"/>
        <v>523.12999999999988</v>
      </c>
    </row>
    <row r="67" spans="5:8">
      <c r="E67">
        <v>3</v>
      </c>
      <c r="F67">
        <v>0.4</v>
      </c>
      <c r="G67">
        <f t="shared" si="10"/>
        <v>382.96</v>
      </c>
      <c r="H67">
        <f t="shared" si="11"/>
        <v>532.96</v>
      </c>
    </row>
    <row r="68" spans="5:8">
      <c r="E68">
        <v>3</v>
      </c>
      <c r="F68">
        <v>0.5</v>
      </c>
      <c r="G68">
        <f t="shared" si="10"/>
        <v>383.75</v>
      </c>
      <c r="H68">
        <f t="shared" si="11"/>
        <v>543.75</v>
      </c>
    </row>
    <row r="69" spans="5:8">
      <c r="E69">
        <v>3</v>
      </c>
      <c r="F69">
        <v>0.6</v>
      </c>
      <c r="G69">
        <f t="shared" si="10"/>
        <v>384.24</v>
      </c>
      <c r="H69">
        <f t="shared" si="11"/>
        <v>555.44000000000005</v>
      </c>
    </row>
    <row r="70" spans="5:8">
      <c r="E70">
        <v>3</v>
      </c>
      <c r="F70">
        <v>0.7</v>
      </c>
      <c r="G70">
        <f t="shared" si="10"/>
        <v>383.77</v>
      </c>
      <c r="H70">
        <f t="shared" si="11"/>
        <v>567.97</v>
      </c>
    </row>
    <row r="71" spans="5:8">
      <c r="E71">
        <v>3</v>
      </c>
      <c r="F71">
        <v>0.8</v>
      </c>
      <c r="G71">
        <f t="shared" si="10"/>
        <v>381.68</v>
      </c>
      <c r="H71">
        <f t="shared" si="11"/>
        <v>581.28</v>
      </c>
    </row>
    <row r="72" spans="5:8">
      <c r="E72">
        <v>3</v>
      </c>
      <c r="F72">
        <v>0.9</v>
      </c>
      <c r="G72">
        <f t="shared" si="10"/>
        <v>377.31</v>
      </c>
      <c r="H72">
        <f t="shared" si="11"/>
        <v>595.31000000000006</v>
      </c>
    </row>
    <row r="73" spans="5:8">
      <c r="E73">
        <v>3</v>
      </c>
      <c r="F73">
        <v>1</v>
      </c>
      <c r="G73">
        <f t="shared" si="10"/>
        <v>370</v>
      </c>
      <c r="H73">
        <f t="shared" si="11"/>
        <v>610</v>
      </c>
    </row>
    <row r="74" spans="5:8">
      <c r="E74" s="1">
        <v>4</v>
      </c>
      <c r="F74" s="1">
        <v>0</v>
      </c>
      <c r="G74">
        <f t="shared" ref="G74:G105" si="12">mLib.Bezier(INDEX(cfBEZ,2*$E74+1,1),INDEX(cfBEZ,2*$E74+1,2),INDEX(cfBEZ,2*$E74+1,3),INDEX(cfBEZ,2*$E74+1,4),$F74)</f>
        <v>370</v>
      </c>
      <c r="H74">
        <f t="shared" ref="H74:H105" si="13">mLib.Bezier(INDEX(cfBEZ,2*$E74+2,1),INDEX(cfBEZ,2*$E74+2,2),INDEX(cfBEZ,2*$E74+2,3),INDEX(cfBEZ,2*$E74+2,4),$F74)</f>
        <v>610</v>
      </c>
    </row>
    <row r="75" spans="5:8">
      <c r="E75" s="1">
        <v>4</v>
      </c>
      <c r="F75" s="1">
        <v>0.1</v>
      </c>
      <c r="G75">
        <f t="shared" si="12"/>
        <v>373.29</v>
      </c>
      <c r="H75">
        <f t="shared" si="13"/>
        <v>615.70000000000005</v>
      </c>
    </row>
    <row r="76" spans="5:8">
      <c r="E76" s="1">
        <v>4</v>
      </c>
      <c r="F76" s="1">
        <v>0.2</v>
      </c>
      <c r="G76">
        <f t="shared" si="12"/>
        <v>377.12000000000006</v>
      </c>
      <c r="H76">
        <f t="shared" si="13"/>
        <v>620.80000000000018</v>
      </c>
    </row>
    <row r="77" spans="5:8">
      <c r="E77" s="1">
        <v>4</v>
      </c>
      <c r="F77" s="1">
        <v>0.3</v>
      </c>
      <c r="G77">
        <f t="shared" si="12"/>
        <v>381.42999999999995</v>
      </c>
      <c r="H77">
        <f t="shared" si="13"/>
        <v>625.29999999999984</v>
      </c>
    </row>
    <row r="78" spans="5:8">
      <c r="E78" s="1">
        <v>4</v>
      </c>
      <c r="F78" s="1">
        <v>0.4</v>
      </c>
      <c r="G78">
        <f t="shared" si="12"/>
        <v>386.16</v>
      </c>
      <c r="H78">
        <f t="shared" si="13"/>
        <v>629.20000000000005</v>
      </c>
    </row>
    <row r="79" spans="5:8">
      <c r="E79" s="1">
        <v>4</v>
      </c>
      <c r="F79" s="1">
        <v>0.5</v>
      </c>
      <c r="G79">
        <f t="shared" si="12"/>
        <v>391.25</v>
      </c>
      <c r="H79">
        <f t="shared" si="13"/>
        <v>632.5</v>
      </c>
    </row>
    <row r="80" spans="5:8">
      <c r="E80" s="1">
        <v>4</v>
      </c>
      <c r="F80" s="1">
        <v>0.6</v>
      </c>
      <c r="G80">
        <f t="shared" si="12"/>
        <v>396.64</v>
      </c>
      <c r="H80">
        <f t="shared" si="13"/>
        <v>635.20000000000005</v>
      </c>
    </row>
    <row r="81" spans="5:8">
      <c r="E81" s="1">
        <v>4</v>
      </c>
      <c r="F81" s="1">
        <v>0.7</v>
      </c>
      <c r="G81">
        <f t="shared" si="12"/>
        <v>402.27</v>
      </c>
      <c r="H81">
        <f t="shared" si="13"/>
        <v>637.29999999999995</v>
      </c>
    </row>
    <row r="82" spans="5:8">
      <c r="E82" s="1">
        <v>4</v>
      </c>
      <c r="F82" s="1">
        <v>0.8</v>
      </c>
      <c r="G82">
        <f t="shared" si="12"/>
        <v>408.08</v>
      </c>
      <c r="H82">
        <f t="shared" si="13"/>
        <v>638.79999999999995</v>
      </c>
    </row>
    <row r="83" spans="5:8">
      <c r="E83" s="1">
        <v>4</v>
      </c>
      <c r="F83" s="1">
        <v>0.9</v>
      </c>
      <c r="G83">
        <f t="shared" si="12"/>
        <v>414.01</v>
      </c>
      <c r="H83">
        <f t="shared" si="13"/>
        <v>639.70000000000005</v>
      </c>
    </row>
    <row r="84" spans="5:8">
      <c r="E84" s="1">
        <v>4</v>
      </c>
      <c r="F84" s="1">
        <v>1</v>
      </c>
      <c r="G84">
        <f t="shared" si="12"/>
        <v>420</v>
      </c>
      <c r="H84">
        <f t="shared" si="13"/>
        <v>640</v>
      </c>
    </row>
    <row r="85" spans="5:8">
      <c r="E85">
        <v>5</v>
      </c>
      <c r="F85">
        <v>0</v>
      </c>
      <c r="G85">
        <f t="shared" si="12"/>
        <v>420</v>
      </c>
      <c r="H85">
        <f t="shared" si="13"/>
        <v>640</v>
      </c>
    </row>
    <row r="86" spans="5:8">
      <c r="E86">
        <f>E85</f>
        <v>5</v>
      </c>
      <c r="F86">
        <v>0.1</v>
      </c>
      <c r="G86">
        <f t="shared" si="12"/>
        <v>429.03000000000003</v>
      </c>
      <c r="H86">
        <f t="shared" si="13"/>
        <v>630.72</v>
      </c>
    </row>
    <row r="87" spans="5:8">
      <c r="E87">
        <f t="shared" ref="E87:E95" si="14">E86</f>
        <v>5</v>
      </c>
      <c r="F87">
        <v>0.2</v>
      </c>
      <c r="G87">
        <f t="shared" si="12"/>
        <v>438.24000000000012</v>
      </c>
      <c r="H87">
        <f t="shared" si="13"/>
        <v>620.96000000000015</v>
      </c>
    </row>
    <row r="88" spans="5:8">
      <c r="E88">
        <f t="shared" si="14"/>
        <v>5</v>
      </c>
      <c r="F88">
        <v>0.3</v>
      </c>
      <c r="G88">
        <f t="shared" si="12"/>
        <v>447.80999999999995</v>
      </c>
      <c r="H88">
        <f t="shared" si="13"/>
        <v>610.83999999999992</v>
      </c>
    </row>
    <row r="89" spans="5:8">
      <c r="E89">
        <f t="shared" si="14"/>
        <v>5</v>
      </c>
      <c r="F89">
        <v>0.4</v>
      </c>
      <c r="G89">
        <f t="shared" si="12"/>
        <v>457.92</v>
      </c>
      <c r="H89">
        <f t="shared" si="13"/>
        <v>600.48</v>
      </c>
    </row>
    <row r="90" spans="5:8">
      <c r="E90">
        <f t="shared" si="14"/>
        <v>5</v>
      </c>
      <c r="F90">
        <v>0.5</v>
      </c>
      <c r="G90">
        <f t="shared" si="12"/>
        <v>468.75</v>
      </c>
      <c r="H90">
        <f t="shared" si="13"/>
        <v>590</v>
      </c>
    </row>
    <row r="91" spans="5:8">
      <c r="E91">
        <f t="shared" si="14"/>
        <v>5</v>
      </c>
      <c r="F91">
        <v>0.6</v>
      </c>
      <c r="G91">
        <f t="shared" si="12"/>
        <v>480.48</v>
      </c>
      <c r="H91">
        <f t="shared" si="13"/>
        <v>579.52</v>
      </c>
    </row>
    <row r="92" spans="5:8">
      <c r="E92">
        <f t="shared" si="14"/>
        <v>5</v>
      </c>
      <c r="F92">
        <v>0.7</v>
      </c>
      <c r="G92">
        <f t="shared" si="12"/>
        <v>493.29</v>
      </c>
      <c r="H92">
        <f t="shared" si="13"/>
        <v>569.16</v>
      </c>
    </row>
    <row r="93" spans="5:8">
      <c r="E93">
        <f t="shared" si="14"/>
        <v>5</v>
      </c>
      <c r="F93">
        <v>0.8</v>
      </c>
      <c r="G93">
        <f t="shared" si="12"/>
        <v>507.36</v>
      </c>
      <c r="H93">
        <f t="shared" si="13"/>
        <v>559.04</v>
      </c>
    </row>
    <row r="94" spans="5:8">
      <c r="E94">
        <f t="shared" si="14"/>
        <v>5</v>
      </c>
      <c r="F94">
        <v>0.9</v>
      </c>
      <c r="G94">
        <f t="shared" si="12"/>
        <v>522.87</v>
      </c>
      <c r="H94">
        <f t="shared" si="13"/>
        <v>549.28</v>
      </c>
    </row>
    <row r="95" spans="5:8">
      <c r="E95">
        <f t="shared" si="14"/>
        <v>5</v>
      </c>
      <c r="F95">
        <v>1</v>
      </c>
      <c r="G95">
        <f t="shared" si="12"/>
        <v>540</v>
      </c>
      <c r="H95">
        <f t="shared" si="13"/>
        <v>540</v>
      </c>
    </row>
    <row r="96" spans="5:8">
      <c r="E96" s="1">
        <v>6</v>
      </c>
      <c r="F96" s="1">
        <v>0</v>
      </c>
      <c r="G96">
        <f t="shared" si="12"/>
        <v>540</v>
      </c>
      <c r="H96">
        <f t="shared" si="13"/>
        <v>540</v>
      </c>
    </row>
    <row r="97" spans="5:8">
      <c r="E97" s="1">
        <f>E96</f>
        <v>6</v>
      </c>
      <c r="F97" s="1">
        <v>0.1</v>
      </c>
      <c r="G97">
        <f t="shared" si="12"/>
        <v>554.61</v>
      </c>
      <c r="H97">
        <f t="shared" si="13"/>
        <v>542.66000000000008</v>
      </c>
    </row>
    <row r="98" spans="5:8">
      <c r="E98" s="1">
        <f t="shared" ref="E98:E106" si="15">E97</f>
        <v>6</v>
      </c>
      <c r="F98" s="1">
        <v>0.2</v>
      </c>
      <c r="G98">
        <f t="shared" si="12"/>
        <v>568.08000000000015</v>
      </c>
      <c r="H98">
        <f t="shared" si="13"/>
        <v>544.48000000000013</v>
      </c>
    </row>
    <row r="99" spans="5:8">
      <c r="E99" s="1">
        <f t="shared" si="15"/>
        <v>6</v>
      </c>
      <c r="F99" s="1">
        <v>0.3</v>
      </c>
      <c r="G99">
        <f t="shared" si="12"/>
        <v>579.86999999999989</v>
      </c>
      <c r="H99">
        <f t="shared" si="13"/>
        <v>545.21999999999991</v>
      </c>
    </row>
    <row r="100" spans="5:8">
      <c r="E100" s="1">
        <f t="shared" si="15"/>
        <v>6</v>
      </c>
      <c r="F100" s="1">
        <v>0.4</v>
      </c>
      <c r="G100">
        <f t="shared" si="12"/>
        <v>589.44000000000005</v>
      </c>
      <c r="H100">
        <f t="shared" si="13"/>
        <v>544.64</v>
      </c>
    </row>
    <row r="101" spans="5:8">
      <c r="E101" s="1">
        <f t="shared" si="15"/>
        <v>6</v>
      </c>
      <c r="F101" s="1">
        <v>0.5</v>
      </c>
      <c r="G101">
        <f t="shared" si="12"/>
        <v>596.25</v>
      </c>
      <c r="H101">
        <f t="shared" si="13"/>
        <v>542.5</v>
      </c>
    </row>
    <row r="102" spans="5:8">
      <c r="E102" s="1">
        <f t="shared" si="15"/>
        <v>6</v>
      </c>
      <c r="F102" s="1">
        <v>0.6</v>
      </c>
      <c r="G102">
        <f t="shared" si="12"/>
        <v>599.76</v>
      </c>
      <c r="H102">
        <f t="shared" si="13"/>
        <v>538.56000000000006</v>
      </c>
    </row>
    <row r="103" spans="5:8">
      <c r="E103" s="1">
        <f t="shared" si="15"/>
        <v>6</v>
      </c>
      <c r="F103" s="1">
        <v>0.7</v>
      </c>
      <c r="G103">
        <f t="shared" si="12"/>
        <v>599.42999999999995</v>
      </c>
      <c r="H103">
        <f t="shared" si="13"/>
        <v>532.58000000000004</v>
      </c>
    </row>
    <row r="104" spans="5:8">
      <c r="E104" s="1">
        <f t="shared" si="15"/>
        <v>6</v>
      </c>
      <c r="F104" s="1">
        <v>0.8</v>
      </c>
      <c r="G104">
        <f t="shared" si="12"/>
        <v>594.72</v>
      </c>
      <c r="H104">
        <f t="shared" si="13"/>
        <v>524.31999999999994</v>
      </c>
    </row>
    <row r="105" spans="5:8">
      <c r="E105" s="1">
        <f t="shared" si="15"/>
        <v>6</v>
      </c>
      <c r="F105" s="1">
        <v>0.9</v>
      </c>
      <c r="G105">
        <f t="shared" si="12"/>
        <v>585.09</v>
      </c>
      <c r="H105">
        <f t="shared" si="13"/>
        <v>513.54</v>
      </c>
    </row>
    <row r="106" spans="5:8">
      <c r="E106" s="1">
        <f t="shared" si="15"/>
        <v>6</v>
      </c>
      <c r="F106" s="1">
        <v>1</v>
      </c>
      <c r="G106">
        <f t="shared" ref="G106:G128" si="16">mLib.Bezier(INDEX(cfBEZ,2*$E106+1,1),INDEX(cfBEZ,2*$E106+1,2),INDEX(cfBEZ,2*$E106+1,3),INDEX(cfBEZ,2*$E106+1,4),$F106)</f>
        <v>570</v>
      </c>
      <c r="H106">
        <f t="shared" ref="H106:H128" si="17">mLib.Bezier(INDEX(cfBEZ,2*$E106+2,1),INDEX(cfBEZ,2*$E106+2,2),INDEX(cfBEZ,2*$E106+2,3),INDEX(cfBEZ,2*$E106+2,4),$F106)</f>
        <v>500</v>
      </c>
    </row>
    <row r="107" spans="5:8">
      <c r="E107">
        <v>7</v>
      </c>
      <c r="F107">
        <v>0</v>
      </c>
      <c r="G107">
        <f t="shared" si="16"/>
        <v>570</v>
      </c>
      <c r="H107">
        <f t="shared" si="17"/>
        <v>500</v>
      </c>
    </row>
    <row r="108" spans="5:8">
      <c r="E108">
        <f>E107</f>
        <v>7</v>
      </c>
      <c r="F108">
        <v>0.1</v>
      </c>
      <c r="G108">
        <f t="shared" si="16"/>
        <v>570.66000000000008</v>
      </c>
      <c r="H108">
        <f t="shared" si="17"/>
        <v>461.22000000000008</v>
      </c>
    </row>
    <row r="109" spans="5:8">
      <c r="E109">
        <f t="shared" ref="E109:E117" si="18">E108</f>
        <v>7</v>
      </c>
      <c r="F109">
        <v>0.2</v>
      </c>
      <c r="G109">
        <f t="shared" si="16"/>
        <v>566.88000000000011</v>
      </c>
      <c r="H109">
        <f t="shared" si="17"/>
        <v>428.56000000000012</v>
      </c>
    </row>
    <row r="110" spans="5:8">
      <c r="E110">
        <f t="shared" si="18"/>
        <v>7</v>
      </c>
      <c r="F110">
        <v>0.3</v>
      </c>
      <c r="G110">
        <f t="shared" si="16"/>
        <v>559.01999999999987</v>
      </c>
      <c r="H110">
        <f t="shared" si="17"/>
        <v>401.53999999999991</v>
      </c>
    </row>
    <row r="111" spans="5:8">
      <c r="E111">
        <f t="shared" si="18"/>
        <v>7</v>
      </c>
      <c r="F111">
        <v>0.4</v>
      </c>
      <c r="G111">
        <f t="shared" si="16"/>
        <v>547.44000000000005</v>
      </c>
      <c r="H111">
        <f t="shared" si="17"/>
        <v>379.68</v>
      </c>
    </row>
    <row r="112" spans="5:8">
      <c r="E112">
        <f t="shared" si="18"/>
        <v>7</v>
      </c>
      <c r="F112">
        <v>0.5</v>
      </c>
      <c r="G112">
        <f t="shared" si="16"/>
        <v>532.5</v>
      </c>
      <c r="H112">
        <f t="shared" si="17"/>
        <v>362.5</v>
      </c>
    </row>
    <row r="113" spans="5:8">
      <c r="E113">
        <f t="shared" si="18"/>
        <v>7</v>
      </c>
      <c r="F113">
        <v>0.6</v>
      </c>
      <c r="G113">
        <f t="shared" si="16"/>
        <v>514.56000000000006</v>
      </c>
      <c r="H113">
        <f t="shared" si="17"/>
        <v>349.52000000000004</v>
      </c>
    </row>
    <row r="114" spans="5:8">
      <c r="E114">
        <f t="shared" si="18"/>
        <v>7</v>
      </c>
      <c r="F114">
        <v>0.7</v>
      </c>
      <c r="G114">
        <f t="shared" si="16"/>
        <v>493.98</v>
      </c>
      <c r="H114">
        <f t="shared" si="17"/>
        <v>340.26</v>
      </c>
    </row>
    <row r="115" spans="5:8">
      <c r="E115">
        <f t="shared" si="18"/>
        <v>7</v>
      </c>
      <c r="F115">
        <v>0.8</v>
      </c>
      <c r="G115">
        <f t="shared" si="16"/>
        <v>471.12</v>
      </c>
      <c r="H115">
        <f t="shared" si="17"/>
        <v>334.24</v>
      </c>
    </row>
    <row r="116" spans="5:8">
      <c r="E116">
        <f t="shared" si="18"/>
        <v>7</v>
      </c>
      <c r="F116">
        <v>0.9</v>
      </c>
      <c r="G116">
        <f t="shared" si="16"/>
        <v>446.34</v>
      </c>
      <c r="H116">
        <f t="shared" si="17"/>
        <v>330.98</v>
      </c>
    </row>
    <row r="117" spans="5:8">
      <c r="E117">
        <f t="shared" si="18"/>
        <v>7</v>
      </c>
      <c r="F117">
        <v>1</v>
      </c>
      <c r="G117">
        <f t="shared" si="16"/>
        <v>420</v>
      </c>
      <c r="H117">
        <f t="shared" si="17"/>
        <v>330</v>
      </c>
    </row>
    <row r="118" spans="5:8">
      <c r="E118" s="1">
        <v>8</v>
      </c>
      <c r="F118" s="1">
        <v>0</v>
      </c>
      <c r="G118">
        <f t="shared" si="16"/>
        <v>420</v>
      </c>
      <c r="H118">
        <f t="shared" si="17"/>
        <v>330</v>
      </c>
    </row>
    <row r="119" spans="5:8">
      <c r="E119" s="1">
        <f>E118</f>
        <v>8</v>
      </c>
      <c r="F119" s="1">
        <v>0.1</v>
      </c>
      <c r="G119">
        <f t="shared" si="16"/>
        <v>393.83000000000004</v>
      </c>
      <c r="H119">
        <f t="shared" si="17"/>
        <v>332.21000000000004</v>
      </c>
    </row>
    <row r="120" spans="5:8">
      <c r="E120" s="1">
        <f t="shared" ref="E120:E128" si="19">E119</f>
        <v>8</v>
      </c>
      <c r="F120" s="1">
        <v>0.2</v>
      </c>
      <c r="G120">
        <f t="shared" si="16"/>
        <v>369.04000000000008</v>
      </c>
      <c r="H120">
        <f t="shared" si="17"/>
        <v>338.0800000000001</v>
      </c>
    </row>
    <row r="121" spans="5:8">
      <c r="E121" s="1">
        <f t="shared" si="19"/>
        <v>8</v>
      </c>
      <c r="F121" s="1">
        <v>0.3</v>
      </c>
      <c r="G121">
        <f t="shared" si="16"/>
        <v>345.20999999999992</v>
      </c>
      <c r="H121">
        <f t="shared" si="17"/>
        <v>346.46999999999991</v>
      </c>
    </row>
    <row r="122" spans="5:8">
      <c r="E122" s="1">
        <f t="shared" si="19"/>
        <v>8</v>
      </c>
      <c r="F122" s="1">
        <v>0.4</v>
      </c>
      <c r="G122">
        <f t="shared" si="16"/>
        <v>321.92</v>
      </c>
      <c r="H122">
        <f t="shared" si="17"/>
        <v>356.24</v>
      </c>
    </row>
    <row r="123" spans="5:8">
      <c r="E123" s="1">
        <f t="shared" si="19"/>
        <v>8</v>
      </c>
      <c r="F123" s="1">
        <v>0.5</v>
      </c>
      <c r="G123">
        <f t="shared" si="16"/>
        <v>298.75</v>
      </c>
      <c r="H123">
        <f t="shared" si="17"/>
        <v>366.25</v>
      </c>
    </row>
    <row r="124" spans="5:8">
      <c r="E124" s="1">
        <f t="shared" si="19"/>
        <v>8</v>
      </c>
      <c r="F124" s="1">
        <v>0.6</v>
      </c>
      <c r="G124">
        <f t="shared" si="16"/>
        <v>275.28000000000003</v>
      </c>
      <c r="H124">
        <f t="shared" si="17"/>
        <v>375.36</v>
      </c>
    </row>
    <row r="125" spans="5:8">
      <c r="E125" s="1">
        <f t="shared" si="19"/>
        <v>8</v>
      </c>
      <c r="F125" s="1">
        <v>0.7</v>
      </c>
      <c r="G125">
        <f t="shared" si="16"/>
        <v>251.09</v>
      </c>
      <c r="H125">
        <f t="shared" si="17"/>
        <v>382.43</v>
      </c>
    </row>
    <row r="126" spans="5:8">
      <c r="E126" s="1">
        <f t="shared" si="19"/>
        <v>8</v>
      </c>
      <c r="F126" s="1">
        <v>0.8</v>
      </c>
      <c r="G126">
        <f t="shared" si="16"/>
        <v>225.76</v>
      </c>
      <c r="H126">
        <f t="shared" si="17"/>
        <v>386.32</v>
      </c>
    </row>
    <row r="127" spans="5:8">
      <c r="E127" s="1">
        <f t="shared" si="19"/>
        <v>8</v>
      </c>
      <c r="F127" s="1">
        <v>0.9</v>
      </c>
      <c r="G127">
        <f t="shared" si="16"/>
        <v>198.87</v>
      </c>
      <c r="H127">
        <f t="shared" si="17"/>
        <v>385.89</v>
      </c>
    </row>
    <row r="128" spans="5:8">
      <c r="E128" s="1">
        <f t="shared" si="19"/>
        <v>8</v>
      </c>
      <c r="F128" s="1">
        <v>1</v>
      </c>
      <c r="G128">
        <f t="shared" si="16"/>
        <v>170</v>
      </c>
      <c r="H128">
        <f t="shared" si="17"/>
        <v>380</v>
      </c>
    </row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</sheetData>
  <mergeCells count="9">
    <mergeCell ref="C28:C30"/>
    <mergeCell ref="C31:C33"/>
    <mergeCell ref="C34:C36"/>
    <mergeCell ref="C37:C39"/>
    <mergeCell ref="C13:C15"/>
    <mergeCell ref="C16:C18"/>
    <mergeCell ref="C19:C21"/>
    <mergeCell ref="C22:C24"/>
    <mergeCell ref="C25:C27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B102"/>
  <sheetViews>
    <sheetView workbookViewId="0">
      <selection activeCell="C1" sqref="C1"/>
    </sheetView>
  </sheetViews>
  <sheetFormatPr defaultColWidth="0" defaultRowHeight="15" zeroHeight="1"/>
  <cols>
    <col min="1" max="5" width="9.140625" customWidth="1"/>
    <col min="6" max="16384" width="9.140625" hidden="1"/>
  </cols>
  <sheetData>
    <row r="1" spans="1:2">
      <c r="A1">
        <v>170</v>
      </c>
      <c r="B1">
        <v>540</v>
      </c>
    </row>
    <row r="2" spans="1:2">
      <c r="A2">
        <v>179.27</v>
      </c>
      <c r="B2">
        <v>541.37000000000012</v>
      </c>
    </row>
    <row r="3" spans="1:2">
      <c r="A3">
        <v>188.96000000000004</v>
      </c>
      <c r="B3">
        <v>544.96000000000015</v>
      </c>
    </row>
    <row r="4" spans="1:2">
      <c r="A4">
        <v>198.88999999999996</v>
      </c>
      <c r="B4">
        <v>549.9899999999999</v>
      </c>
    </row>
    <row r="5" spans="1:2">
      <c r="A5">
        <v>208.88</v>
      </c>
      <c r="B5">
        <v>555.67999999999995</v>
      </c>
    </row>
    <row r="6" spans="1:2">
      <c r="A6">
        <v>218.75</v>
      </c>
      <c r="B6">
        <v>561.25</v>
      </c>
    </row>
    <row r="7" spans="1:2">
      <c r="A7">
        <v>228.32</v>
      </c>
      <c r="B7">
        <v>565.91999999999996</v>
      </c>
    </row>
    <row r="8" spans="1:2">
      <c r="A8">
        <v>237.41</v>
      </c>
      <c r="B8">
        <v>568.91</v>
      </c>
    </row>
    <row r="9" spans="1:2">
      <c r="A9">
        <v>245.84</v>
      </c>
      <c r="B9">
        <v>569.43999999999994</v>
      </c>
    </row>
    <row r="10" spans="1:2">
      <c r="A10">
        <v>253.43</v>
      </c>
      <c r="B10">
        <v>566.73</v>
      </c>
    </row>
    <row r="11" spans="1:2">
      <c r="A11">
        <v>260</v>
      </c>
      <c r="B11">
        <v>560</v>
      </c>
    </row>
    <row r="12" spans="1:2">
      <c r="A12">
        <v>260</v>
      </c>
      <c r="B12">
        <v>560</v>
      </c>
    </row>
    <row r="13" spans="1:2">
      <c r="A13">
        <v>281.24</v>
      </c>
      <c r="B13">
        <v>532.6400000000001</v>
      </c>
    </row>
    <row r="14" spans="1:2">
      <c r="A14">
        <v>302.72000000000008</v>
      </c>
      <c r="B14">
        <v>510.32000000000011</v>
      </c>
    </row>
    <row r="15" spans="1:2">
      <c r="A15">
        <v>324.07999999999993</v>
      </c>
      <c r="B15">
        <v>492.67999999999989</v>
      </c>
    </row>
    <row r="16" spans="1:2">
      <c r="A16">
        <v>344.96000000000004</v>
      </c>
      <c r="B16">
        <v>479.36</v>
      </c>
    </row>
    <row r="17" spans="1:2">
      <c r="A17">
        <v>365</v>
      </c>
      <c r="B17">
        <v>470</v>
      </c>
    </row>
    <row r="18" spans="1:2">
      <c r="A18">
        <v>383.84000000000003</v>
      </c>
      <c r="B18">
        <v>464.24</v>
      </c>
    </row>
    <row r="19" spans="1:2">
      <c r="A19">
        <v>401.12</v>
      </c>
      <c r="B19">
        <v>461.72</v>
      </c>
    </row>
    <row r="20" spans="1:2">
      <c r="A20">
        <v>416.48</v>
      </c>
      <c r="B20">
        <v>462.08</v>
      </c>
    </row>
    <row r="21" spans="1:2">
      <c r="A21">
        <v>429.56</v>
      </c>
      <c r="B21">
        <v>464.96</v>
      </c>
    </row>
    <row r="22" spans="1:2">
      <c r="A22">
        <v>440</v>
      </c>
      <c r="B22">
        <v>470</v>
      </c>
    </row>
    <row r="23" spans="1:2">
      <c r="A23">
        <v>440</v>
      </c>
      <c r="B23">
        <v>470</v>
      </c>
    </row>
    <row r="24" spans="1:2">
      <c r="A24">
        <v>444.00000000000006</v>
      </c>
      <c r="B24">
        <v>472.73000000000008</v>
      </c>
    </row>
    <row r="25" spans="1:2">
      <c r="A25">
        <v>444.40000000000009</v>
      </c>
      <c r="B25">
        <v>475.04000000000013</v>
      </c>
    </row>
    <row r="26" spans="1:2">
      <c r="A26">
        <v>441.7999999999999</v>
      </c>
      <c r="B26">
        <v>477.1099999999999</v>
      </c>
    </row>
    <row r="27" spans="1:2">
      <c r="A27">
        <v>436.8</v>
      </c>
      <c r="B27">
        <v>479.12</v>
      </c>
    </row>
    <row r="28" spans="1:2">
      <c r="A28">
        <v>430</v>
      </c>
      <c r="B28">
        <v>481.25</v>
      </c>
    </row>
    <row r="29" spans="1:2">
      <c r="A29">
        <v>422</v>
      </c>
      <c r="B29">
        <v>483.68</v>
      </c>
    </row>
    <row r="30" spans="1:2">
      <c r="A30">
        <v>413.4</v>
      </c>
      <c r="B30">
        <v>486.59</v>
      </c>
    </row>
    <row r="31" spans="1:2">
      <c r="A31">
        <v>404.8</v>
      </c>
      <c r="B31">
        <v>490.16</v>
      </c>
    </row>
    <row r="32" spans="1:2">
      <c r="A32">
        <v>396.8</v>
      </c>
      <c r="B32">
        <v>494.57</v>
      </c>
    </row>
    <row r="33" spans="1:2">
      <c r="A33">
        <v>390</v>
      </c>
      <c r="B33">
        <v>500</v>
      </c>
    </row>
    <row r="34" spans="1:2">
      <c r="A34">
        <v>390</v>
      </c>
      <c r="B34">
        <v>500</v>
      </c>
    </row>
    <row r="35" spans="1:2">
      <c r="A35">
        <v>385.39000000000004</v>
      </c>
      <c r="B35">
        <v>506.59000000000009</v>
      </c>
    </row>
    <row r="36" spans="1:2">
      <c r="A36">
        <v>383.12000000000012</v>
      </c>
      <c r="B36">
        <v>514.32000000000016</v>
      </c>
    </row>
    <row r="37" spans="1:2">
      <c r="A37">
        <v>382.52999999999992</v>
      </c>
      <c r="B37">
        <v>523.12999999999988</v>
      </c>
    </row>
    <row r="38" spans="1:2">
      <c r="A38">
        <v>382.96</v>
      </c>
      <c r="B38">
        <v>532.96</v>
      </c>
    </row>
    <row r="39" spans="1:2">
      <c r="A39">
        <v>383.75</v>
      </c>
      <c r="B39">
        <v>543.75</v>
      </c>
    </row>
    <row r="40" spans="1:2">
      <c r="A40">
        <v>384.24</v>
      </c>
      <c r="B40">
        <v>555.44000000000005</v>
      </c>
    </row>
    <row r="41" spans="1:2">
      <c r="A41">
        <v>383.77</v>
      </c>
      <c r="B41">
        <v>567.97</v>
      </c>
    </row>
    <row r="42" spans="1:2">
      <c r="A42">
        <v>381.68</v>
      </c>
      <c r="B42">
        <v>581.28</v>
      </c>
    </row>
    <row r="43" spans="1:2">
      <c r="A43">
        <v>377.31</v>
      </c>
      <c r="B43">
        <v>595.31000000000006</v>
      </c>
    </row>
    <row r="44" spans="1:2">
      <c r="A44">
        <v>370</v>
      </c>
      <c r="B44">
        <v>610</v>
      </c>
    </row>
    <row r="45" spans="1:2">
      <c r="A45">
        <v>370</v>
      </c>
      <c r="B45">
        <v>610</v>
      </c>
    </row>
    <row r="46" spans="1:2">
      <c r="A46">
        <v>373.29</v>
      </c>
      <c r="B46">
        <v>615.70000000000005</v>
      </c>
    </row>
    <row r="47" spans="1:2">
      <c r="A47">
        <v>377.12000000000006</v>
      </c>
      <c r="B47">
        <v>620.80000000000018</v>
      </c>
    </row>
    <row r="48" spans="1:2">
      <c r="A48">
        <v>381.42999999999995</v>
      </c>
      <c r="B48">
        <v>625.29999999999984</v>
      </c>
    </row>
    <row r="49" spans="1:2">
      <c r="A49">
        <v>386.16</v>
      </c>
      <c r="B49">
        <v>629.20000000000005</v>
      </c>
    </row>
    <row r="50" spans="1:2">
      <c r="A50">
        <v>391.25</v>
      </c>
      <c r="B50">
        <v>632.5</v>
      </c>
    </row>
    <row r="51" spans="1:2">
      <c r="A51">
        <v>396.64</v>
      </c>
      <c r="B51">
        <v>635.20000000000005</v>
      </c>
    </row>
    <row r="52" spans="1:2">
      <c r="A52">
        <v>402.27</v>
      </c>
      <c r="B52">
        <v>637.29999999999995</v>
      </c>
    </row>
    <row r="53" spans="1:2">
      <c r="A53">
        <v>408.08</v>
      </c>
      <c r="B53">
        <v>638.79999999999995</v>
      </c>
    </row>
    <row r="54" spans="1:2">
      <c r="A54">
        <v>414.01</v>
      </c>
      <c r="B54">
        <v>639.70000000000005</v>
      </c>
    </row>
    <row r="55" spans="1:2">
      <c r="A55">
        <v>420</v>
      </c>
      <c r="B55">
        <v>640</v>
      </c>
    </row>
    <row r="56" spans="1:2">
      <c r="A56">
        <v>420</v>
      </c>
      <c r="B56">
        <v>640</v>
      </c>
    </row>
    <row r="57" spans="1:2">
      <c r="A57">
        <v>429.03000000000003</v>
      </c>
      <c r="B57">
        <v>630.72</v>
      </c>
    </row>
    <row r="58" spans="1:2">
      <c r="A58">
        <v>438.24000000000012</v>
      </c>
      <c r="B58">
        <v>620.96000000000015</v>
      </c>
    </row>
    <row r="59" spans="1:2">
      <c r="A59">
        <v>447.80999999999995</v>
      </c>
      <c r="B59">
        <v>610.83999999999992</v>
      </c>
    </row>
    <row r="60" spans="1:2">
      <c r="A60">
        <v>457.92</v>
      </c>
      <c r="B60">
        <v>600.48</v>
      </c>
    </row>
    <row r="61" spans="1:2">
      <c r="A61">
        <v>468.75</v>
      </c>
      <c r="B61">
        <v>590</v>
      </c>
    </row>
    <row r="62" spans="1:2">
      <c r="A62">
        <v>480.48</v>
      </c>
      <c r="B62">
        <v>579.52</v>
      </c>
    </row>
    <row r="63" spans="1:2">
      <c r="A63">
        <v>493.29</v>
      </c>
      <c r="B63">
        <v>569.16</v>
      </c>
    </row>
    <row r="64" spans="1:2">
      <c r="A64">
        <v>507.36</v>
      </c>
      <c r="B64">
        <v>559.04</v>
      </c>
    </row>
    <row r="65" spans="1:2">
      <c r="A65">
        <v>522.87</v>
      </c>
      <c r="B65">
        <v>549.28</v>
      </c>
    </row>
    <row r="66" spans="1:2">
      <c r="A66">
        <v>540</v>
      </c>
      <c r="B66">
        <v>540</v>
      </c>
    </row>
    <row r="67" spans="1:2">
      <c r="A67">
        <v>540</v>
      </c>
      <c r="B67">
        <v>540</v>
      </c>
    </row>
    <row r="68" spans="1:2">
      <c r="A68">
        <v>554.61</v>
      </c>
      <c r="B68">
        <v>542.66000000000008</v>
      </c>
    </row>
    <row r="69" spans="1:2">
      <c r="A69">
        <v>568.08000000000015</v>
      </c>
      <c r="B69">
        <v>544.48000000000013</v>
      </c>
    </row>
    <row r="70" spans="1:2">
      <c r="A70">
        <v>579.86999999999989</v>
      </c>
      <c r="B70">
        <v>545.21999999999991</v>
      </c>
    </row>
    <row r="71" spans="1:2">
      <c r="A71">
        <v>589.44000000000005</v>
      </c>
      <c r="B71">
        <v>544.64</v>
      </c>
    </row>
    <row r="72" spans="1:2">
      <c r="A72">
        <v>596.25</v>
      </c>
      <c r="B72">
        <v>542.5</v>
      </c>
    </row>
    <row r="73" spans="1:2">
      <c r="A73">
        <v>599.76</v>
      </c>
      <c r="B73">
        <v>538.56000000000006</v>
      </c>
    </row>
    <row r="74" spans="1:2">
      <c r="A74">
        <v>599.42999999999995</v>
      </c>
      <c r="B74">
        <v>532.58000000000004</v>
      </c>
    </row>
    <row r="75" spans="1:2">
      <c r="A75">
        <v>594.72</v>
      </c>
      <c r="B75">
        <v>524.31999999999994</v>
      </c>
    </row>
    <row r="76" spans="1:2">
      <c r="A76">
        <v>585.09</v>
      </c>
      <c r="B76">
        <v>513.54</v>
      </c>
    </row>
    <row r="77" spans="1:2">
      <c r="A77">
        <v>570</v>
      </c>
      <c r="B77">
        <v>500</v>
      </c>
    </row>
    <row r="78" spans="1:2">
      <c r="A78">
        <v>570</v>
      </c>
      <c r="B78">
        <v>500</v>
      </c>
    </row>
    <row r="79" spans="1:2">
      <c r="A79">
        <v>570.66000000000008</v>
      </c>
      <c r="B79">
        <v>461.22000000000008</v>
      </c>
    </row>
    <row r="80" spans="1:2">
      <c r="A80">
        <v>566.88000000000011</v>
      </c>
      <c r="B80">
        <v>428.56000000000012</v>
      </c>
    </row>
    <row r="81" spans="1:2">
      <c r="A81">
        <v>559.01999999999987</v>
      </c>
      <c r="B81">
        <v>401.53999999999991</v>
      </c>
    </row>
    <row r="82" spans="1:2">
      <c r="A82">
        <v>547.44000000000005</v>
      </c>
      <c r="B82">
        <v>379.68</v>
      </c>
    </row>
    <row r="83" spans="1:2">
      <c r="A83">
        <v>532.5</v>
      </c>
      <c r="B83">
        <v>362.5</v>
      </c>
    </row>
    <row r="84" spans="1:2">
      <c r="A84">
        <v>514.56000000000006</v>
      </c>
      <c r="B84">
        <v>349.52000000000004</v>
      </c>
    </row>
    <row r="85" spans="1:2">
      <c r="A85">
        <v>493.98</v>
      </c>
      <c r="B85">
        <v>340.26</v>
      </c>
    </row>
    <row r="86" spans="1:2">
      <c r="A86">
        <v>471.12</v>
      </c>
      <c r="B86">
        <v>334.24</v>
      </c>
    </row>
    <row r="87" spans="1:2">
      <c r="A87">
        <v>446.34</v>
      </c>
      <c r="B87">
        <v>330.98</v>
      </c>
    </row>
    <row r="88" spans="1:2">
      <c r="A88">
        <v>420</v>
      </c>
      <c r="B88">
        <v>330</v>
      </c>
    </row>
    <row r="89" spans="1:2">
      <c r="A89">
        <v>420</v>
      </c>
      <c r="B89">
        <v>330</v>
      </c>
    </row>
    <row r="90" spans="1:2">
      <c r="A90">
        <v>393.83000000000004</v>
      </c>
      <c r="B90">
        <v>332.21000000000004</v>
      </c>
    </row>
    <row r="91" spans="1:2">
      <c r="A91">
        <v>369.04000000000008</v>
      </c>
      <c r="B91">
        <v>338.0800000000001</v>
      </c>
    </row>
    <row r="92" spans="1:2">
      <c r="A92">
        <v>345.20999999999992</v>
      </c>
      <c r="B92">
        <v>346.46999999999991</v>
      </c>
    </row>
    <row r="93" spans="1:2">
      <c r="A93">
        <v>321.92</v>
      </c>
      <c r="B93">
        <v>356.24</v>
      </c>
    </row>
    <row r="94" spans="1:2">
      <c r="A94">
        <v>298.75</v>
      </c>
      <c r="B94">
        <v>366.25</v>
      </c>
    </row>
    <row r="95" spans="1:2">
      <c r="A95">
        <v>275.28000000000003</v>
      </c>
      <c r="B95">
        <v>375.36</v>
      </c>
    </row>
    <row r="96" spans="1:2">
      <c r="A96">
        <v>251.09</v>
      </c>
      <c r="B96">
        <v>382.43</v>
      </c>
    </row>
    <row r="97" spans="1:2">
      <c r="A97">
        <v>225.76</v>
      </c>
      <c r="B97">
        <v>386.32</v>
      </c>
    </row>
    <row r="98" spans="1:2">
      <c r="A98">
        <v>198.87</v>
      </c>
      <c r="B98">
        <v>385.89</v>
      </c>
    </row>
    <row r="99" spans="1:2">
      <c r="A99">
        <v>170</v>
      </c>
      <c r="B99">
        <v>380</v>
      </c>
    </row>
    <row r="100" spans="1:2"/>
    <row r="101" spans="1:2"/>
    <row r="102" spans="1: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rei</vt:lpstr>
      <vt:lpstr>xml</vt:lpstr>
      <vt:lpstr>peao</vt:lpstr>
      <vt:lpstr>peaoData</vt:lpstr>
      <vt:lpstr>cavalo</vt:lpstr>
      <vt:lpstr>cavaloData</vt:lpstr>
      <vt:lpstr>_XMLbeg</vt:lpstr>
      <vt:lpstr>_XMLend</vt:lpstr>
      <vt:lpstr>cBEZ</vt:lpstr>
      <vt:lpstr>cfBEZ</vt:lpstr>
      <vt:lpstr>cffX</vt:lpstr>
      <vt:lpstr>cffY</vt:lpstr>
      <vt:lpstr>dtCavalo</vt:lpstr>
      <vt:lpstr>hghZ</vt:lpstr>
      <vt:lpstr>kBEZ</vt:lpstr>
      <vt:lpstr>tDEFS</vt:lpstr>
      <vt:lpstr>tMETA</vt:lpstr>
      <vt:lpstr>tSVG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2020-12-27T13:01:30Z</dcterms:modified>
</cp:coreProperties>
</file>