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75" windowWidth="20115" windowHeight="7755" activeTab="1"/>
  </bookViews>
  <sheets>
    <sheet name="rei" sheetId="7" r:id="rId1"/>
    <sheet name="peao" sheetId="6" r:id="rId2"/>
    <sheet name="xml" sheetId="3" r:id="rId3"/>
    <sheet name="Лист1" sheetId="8" r:id="rId4"/>
  </sheets>
  <functionGroups/>
  <definedNames>
    <definedName name="_cX" localSheetId="0">#REF!</definedName>
    <definedName name="_cX">#REF!</definedName>
    <definedName name="_cY" localSheetId="0">#REF!</definedName>
    <definedName name="_cY">#REF!</definedName>
    <definedName name="_T00" localSheetId="0">#REF!</definedName>
    <definedName name="_T00">#REF!</definedName>
    <definedName name="_T01" localSheetId="0">#REF!</definedName>
    <definedName name="_T01">#REF!</definedName>
    <definedName name="_T02" localSheetId="0">#REF!</definedName>
    <definedName name="_T02">#REF!</definedName>
    <definedName name="_T03" localSheetId="0">#REF!</definedName>
    <definedName name="_T03">#REF!</definedName>
    <definedName name="_T11" localSheetId="0">#REF!</definedName>
    <definedName name="_T11">#REF!</definedName>
    <definedName name="_T12" localSheetId="0">#REF!</definedName>
    <definedName name="_T12">#REF!</definedName>
    <definedName name="_T13" localSheetId="0">#REF!</definedName>
    <definedName name="_T13">#REF!</definedName>
    <definedName name="_T21" localSheetId="0">#REF!</definedName>
    <definedName name="_T21">#REF!</definedName>
    <definedName name="_T22" localSheetId="0">#REF!</definedName>
    <definedName name="_T22">#REF!</definedName>
    <definedName name="_T23" localSheetId="0">#REF!</definedName>
    <definedName name="_T23">#REF!</definedName>
    <definedName name="_T31" localSheetId="0">#REF!</definedName>
    <definedName name="_T31">#REF!</definedName>
    <definedName name="_T32" localSheetId="0">#REF!</definedName>
    <definedName name="_T32">#REF!</definedName>
    <definedName name="_T33" localSheetId="0">#REF!</definedName>
    <definedName name="_T33">#REF!</definedName>
    <definedName name="_vGR" localSheetId="0">#REF!</definedName>
    <definedName name="_vGR">#REF!</definedName>
    <definedName name="_vRD" localSheetId="0">#REF!</definedName>
    <definedName name="_vRD">#REF!</definedName>
    <definedName name="_XMLbeg">xml!$A$1</definedName>
    <definedName name="_XMLend">xml!$A$2</definedName>
    <definedName name="cffX">peao!$J$19</definedName>
    <definedName name="cffY">peao!$K$19</definedName>
    <definedName name="hghZ">peao!$K$18</definedName>
    <definedName name="tDEFS">xml!$A$22</definedName>
    <definedName name="tMETA">xml!$A$42</definedName>
    <definedName name="tSVG">xml!$A$7</definedName>
  </definedNames>
  <calcPr calcId="125725"/>
</workbook>
</file>

<file path=xl/calcChain.xml><?xml version="1.0" encoding="utf-8"?>
<calcChain xmlns="http://schemas.openxmlformats.org/spreadsheetml/2006/main">
  <c r="L21" i="6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20"/>
  <c r="K19"/>
  <c r="J19"/>
  <c r="J23" s="1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20"/>
  <c r="H11" i="7"/>
  <c r="G11"/>
  <c r="I11" s="1"/>
  <c r="J10"/>
  <c r="G12" s="1"/>
  <c r="I10"/>
  <c r="H10"/>
  <c r="G10"/>
  <c r="J9"/>
  <c r="I9"/>
  <c r="H9"/>
  <c r="G9"/>
  <c r="J8"/>
  <c r="I8"/>
  <c r="H8"/>
  <c r="G8"/>
  <c r="J7"/>
  <c r="I7"/>
  <c r="H7"/>
  <c r="G7"/>
  <c r="J10" i="6"/>
  <c r="G12" s="1"/>
  <c r="I10"/>
  <c r="H10"/>
  <c r="J9"/>
  <c r="I9"/>
  <c r="H9"/>
  <c r="G11"/>
  <c r="G41" i="7"/>
  <c r="G39"/>
  <c r="G37"/>
  <c r="G35"/>
  <c r="G33"/>
  <c r="G31"/>
  <c r="G29"/>
  <c r="G27"/>
  <c r="G25"/>
  <c r="G23"/>
  <c r="G21"/>
  <c r="H24"/>
  <c r="H20"/>
  <c r="H41"/>
  <c r="H39"/>
  <c r="H37"/>
  <c r="H35"/>
  <c r="H33"/>
  <c r="H31"/>
  <c r="H29"/>
  <c r="H27"/>
  <c r="H25"/>
  <c r="H23"/>
  <c r="H21"/>
  <c r="G40"/>
  <c r="G38"/>
  <c r="G36"/>
  <c r="G34"/>
  <c r="G32"/>
  <c r="G30"/>
  <c r="G28"/>
  <c r="G26"/>
  <c r="G24"/>
  <c r="G22"/>
  <c r="G20"/>
  <c r="H26"/>
  <c r="H22"/>
  <c r="H40"/>
  <c r="H38"/>
  <c r="H36"/>
  <c r="H34"/>
  <c r="H32"/>
  <c r="H30"/>
  <c r="H28"/>
  <c r="J21" i="6" l="1"/>
  <c r="J22"/>
  <c r="I12" i="7"/>
  <c r="J12"/>
  <c r="H12"/>
  <c r="J11"/>
  <c r="H12" i="6"/>
  <c r="I12"/>
  <c r="J12"/>
  <c r="J11"/>
  <c r="H11"/>
  <c r="I11"/>
  <c r="G10"/>
  <c r="G9"/>
  <c r="J8"/>
  <c r="J7"/>
  <c r="I8"/>
  <c r="I7"/>
  <c r="H8"/>
  <c r="H7"/>
  <c r="G8"/>
  <c r="G7"/>
  <c r="B21" i="3"/>
  <c r="A54"/>
  <c r="A1"/>
  <c r="A7"/>
  <c r="A2"/>
  <c r="A65"/>
  <c r="A42"/>
  <c r="A22"/>
  <c r="G42" i="7"/>
  <c r="G44"/>
  <c r="G46"/>
  <c r="G48"/>
  <c r="G50"/>
  <c r="G52"/>
  <c r="G43"/>
  <c r="G45"/>
  <c r="G47"/>
  <c r="G49"/>
  <c r="G51"/>
  <c r="H42" i="6"/>
  <c r="H46"/>
  <c r="G52"/>
  <c r="G51"/>
  <c r="G49"/>
  <c r="H40"/>
  <c r="H38"/>
  <c r="H35"/>
  <c r="G36"/>
  <c r="G33"/>
  <c r="G32"/>
  <c r="H29"/>
  <c r="H23"/>
  <c r="G20"/>
  <c r="G22"/>
  <c r="G26"/>
  <c r="H44"/>
  <c r="H49"/>
  <c r="H43"/>
  <c r="G48"/>
  <c r="G50"/>
  <c r="H31"/>
  <c r="H33"/>
  <c r="H39"/>
  <c r="G40"/>
  <c r="G37"/>
  <c r="G38"/>
  <c r="H28"/>
  <c r="H22"/>
  <c r="H25"/>
  <c r="G27"/>
  <c r="G29"/>
  <c r="H20"/>
  <c r="G21"/>
  <c r="H42" i="7"/>
  <c r="H44"/>
  <c r="H46"/>
  <c r="H48"/>
  <c r="H50"/>
  <c r="H52"/>
  <c r="H43"/>
  <c r="H45"/>
  <c r="H47"/>
  <c r="H49"/>
  <c r="H51"/>
  <c r="H48" i="6"/>
  <c r="H50"/>
  <c r="H47"/>
  <c r="G44"/>
  <c r="G43"/>
  <c r="G42"/>
  <c r="H37"/>
  <c r="H34"/>
  <c r="G31"/>
  <c r="G41"/>
  <c r="G35"/>
  <c r="H21"/>
  <c r="H27"/>
  <c r="H30"/>
  <c r="G28"/>
  <c r="G23"/>
  <c r="G25"/>
  <c r="H52"/>
  <c r="H45"/>
  <c r="H51"/>
  <c r="G46"/>
  <c r="G47"/>
  <c r="G45"/>
  <c r="H41"/>
  <c r="H36"/>
  <c r="H32"/>
  <c r="G34"/>
  <c r="G39"/>
  <c r="H24"/>
  <c r="H26"/>
  <c r="G24"/>
  <c r="G30"/>
  <c r="G14" i="7" l="1"/>
  <c r="G13"/>
  <c r="G14" i="6"/>
  <c r="G13"/>
  <c r="I14" i="7" l="1"/>
  <c r="J14"/>
  <c r="H14"/>
  <c r="I13"/>
  <c r="H13"/>
  <c r="J13"/>
  <c r="H14" i="6"/>
  <c r="I14"/>
  <c r="J14"/>
  <c r="J13"/>
  <c r="H13"/>
  <c r="I13"/>
  <c r="H60"/>
  <c r="H57"/>
  <c r="G61"/>
  <c r="G56"/>
  <c r="H63"/>
  <c r="H53"/>
  <c r="H54"/>
  <c r="G59"/>
  <c r="G60"/>
  <c r="H61"/>
  <c r="G63"/>
  <c r="G53"/>
  <c r="H54" i="7"/>
  <c r="H56"/>
  <c r="H58"/>
  <c r="H60"/>
  <c r="H62"/>
  <c r="H53"/>
  <c r="H55"/>
  <c r="H57"/>
  <c r="H59"/>
  <c r="H61"/>
  <c r="H63"/>
  <c r="G54"/>
  <c r="G56"/>
  <c r="G58"/>
  <c r="G60"/>
  <c r="G62"/>
  <c r="G53"/>
  <c r="G55"/>
  <c r="G57"/>
  <c r="G59"/>
  <c r="G61"/>
  <c r="G63"/>
  <c r="H55" i="6"/>
  <c r="H58"/>
  <c r="G58"/>
  <c r="H59"/>
  <c r="H56"/>
  <c r="H62"/>
  <c r="G57"/>
  <c r="G62"/>
  <c r="G54"/>
  <c r="G55"/>
  <c r="G15" i="7" l="1"/>
  <c r="G16"/>
  <c r="G16" i="6"/>
  <c r="G15"/>
  <c r="I15" i="7" l="1"/>
  <c r="H15"/>
  <c r="J15"/>
  <c r="I16"/>
  <c r="J16"/>
  <c r="H16"/>
  <c r="J16" i="6"/>
  <c r="H16"/>
  <c r="I16"/>
  <c r="H15"/>
  <c r="I15"/>
  <c r="J15"/>
  <c r="H74"/>
  <c r="H71"/>
  <c r="G73"/>
  <c r="G65"/>
  <c r="G66"/>
  <c r="G69"/>
  <c r="G74"/>
  <c r="G64" i="7"/>
  <c r="G66"/>
  <c r="G68"/>
  <c r="G70"/>
  <c r="G72"/>
  <c r="G74"/>
  <c r="G65"/>
  <c r="G67"/>
  <c r="G69"/>
  <c r="G71"/>
  <c r="G73"/>
  <c r="H65" i="6"/>
  <c r="H64"/>
  <c r="H68"/>
  <c r="G67"/>
  <c r="G68"/>
  <c r="G72"/>
  <c r="G64"/>
  <c r="H69"/>
  <c r="H66"/>
  <c r="H72"/>
  <c r="G70"/>
  <c r="H64" i="7"/>
  <c r="H66"/>
  <c r="H68"/>
  <c r="H70"/>
  <c r="H72"/>
  <c r="H74"/>
  <c r="H65"/>
  <c r="H67"/>
  <c r="H69"/>
  <c r="H71"/>
  <c r="H73"/>
  <c r="H73" i="6"/>
  <c r="H70"/>
  <c r="H67"/>
  <c r="G71"/>
</calcChain>
</file>

<file path=xl/sharedStrings.xml><?xml version="1.0" encoding="utf-8"?>
<sst xmlns="http://schemas.openxmlformats.org/spreadsheetml/2006/main" count="125" uniqueCount="81">
  <si>
    <t>&lt;?xml version="1.0" encoding="UTF-8" standalone="no"?&gt;</t>
  </si>
  <si>
    <t>&lt;!-- Created with Inkscape (http://www.inkscape.org/) --&gt;</t>
  </si>
  <si>
    <t>&lt;svg</t>
  </si>
  <si>
    <t xml:space="preserve">   xmlns:dc="http://purl.org/dc/elements/1.1/"</t>
  </si>
  <si>
    <t xml:space="preserve">   xmlns:cc="http://creativecommons.org/ns#"</t>
  </si>
  <si>
    <t xml:space="preserve">   xmlns:rdf="http://www.w3.org/1999/02/22-rdf-syntax-ns#"</t>
  </si>
  <si>
    <t xml:space="preserve">   xmlns:svg="http://www.w3.org/2000/svg"</t>
  </si>
  <si>
    <t xml:space="preserve">   xmlns="http://www.w3.org/2000/svg"</t>
  </si>
  <si>
    <t xml:space="preserve">   xmlns:sodipodi="http://sodipodi.sourceforge.net/DTD/sodipodi-0.dtd"</t>
  </si>
  <si>
    <t xml:space="preserve">   xmlns:inkscape="http://www.inkscape.org/namespaces/inkscape"</t>
  </si>
  <si>
    <t xml:space="preserve">   width="210mm"</t>
  </si>
  <si>
    <t xml:space="preserve">   height="297mm"</t>
  </si>
  <si>
    <t xml:space="preserve">   viewBox="0 0 210 297"</t>
  </si>
  <si>
    <t xml:space="preserve">   version="1.1"</t>
  </si>
  <si>
    <t xml:space="preserve">   id="svg8"</t>
  </si>
  <si>
    <t xml:space="preserve">   inkscape:version="0.92.5 (2060ec1f9f, 2020-04-08)"</t>
  </si>
  <si>
    <t xml:space="preserve">  &lt;defs</t>
  </si>
  <si>
    <t xml:space="preserve">     id="defs2" /&gt;</t>
  </si>
  <si>
    <t xml:space="preserve">  &lt;sodipodi:namedview</t>
  </si>
  <si>
    <t xml:space="preserve">     id="base"</t>
  </si>
  <si>
    <t xml:space="preserve">     pagecolor="#ffffff"</t>
  </si>
  <si>
    <t xml:space="preserve">     bordercolor="#666666"</t>
  </si>
  <si>
    <t xml:space="preserve">     borderopacity="1.0"</t>
  </si>
  <si>
    <t xml:space="preserve">     inkscape:pageopacity="0.0"</t>
  </si>
  <si>
    <t xml:space="preserve">     inkscape:pageshadow="2"</t>
  </si>
  <si>
    <t xml:space="preserve">     inkscape:zoom="4.7"</t>
  </si>
  <si>
    <t xml:space="preserve">     inkscape:cx="3.4e+02"</t>
  </si>
  <si>
    <t xml:space="preserve">     inkscape:cy="1.1e+03"</t>
  </si>
  <si>
    <t xml:space="preserve">     inkscape:document-units="mm"</t>
  </si>
  <si>
    <t xml:space="preserve">     inkscape:current-layer="layer1"</t>
  </si>
  <si>
    <t xml:space="preserve">     showgrid="false"</t>
  </si>
  <si>
    <t xml:space="preserve">     inkscape:window-width="1366"</t>
  </si>
  <si>
    <t xml:space="preserve">     inkscape:window-height="705"</t>
  </si>
  <si>
    <t xml:space="preserve">     inkscape:window-x="-8"</t>
  </si>
  <si>
    <t xml:space="preserve">     inkscape:window-y="-8"</t>
  </si>
  <si>
    <t xml:space="preserve">     inkscape:window-maximized="1" /&gt;</t>
  </si>
  <si>
    <t xml:space="preserve">  &lt;metadata</t>
  </si>
  <si>
    <t xml:space="preserve">     id="metadata5"&gt;</t>
  </si>
  <si>
    <t xml:space="preserve">    &lt;rdf:RDF&gt;</t>
  </si>
  <si>
    <t xml:space="preserve">      &lt;cc:Work</t>
  </si>
  <si>
    <t xml:space="preserve">         rdf:about=""&gt;</t>
  </si>
  <si>
    <t xml:space="preserve">        &lt;dc:format&gt;image/svg+xml&lt;/dc:format&gt;</t>
  </si>
  <si>
    <t xml:space="preserve">        &lt;dc:type</t>
  </si>
  <si>
    <t xml:space="preserve">           rdf:resource="http://purl.org/dc/dcmitype/StillImage" /&gt;</t>
  </si>
  <si>
    <t xml:space="preserve">        &lt;dc:title /&gt;</t>
  </si>
  <si>
    <t xml:space="preserve">      &lt;/cc:Work&gt;</t>
  </si>
  <si>
    <t xml:space="preserve">    &lt;/rdf:RDF&gt;</t>
  </si>
  <si>
    <t xml:space="preserve">  &lt;/metadata&gt;</t>
  </si>
  <si>
    <t xml:space="preserve">  &lt;g</t>
  </si>
  <si>
    <t xml:space="preserve">     inkscape:label="Layer 1"</t>
  </si>
  <si>
    <t xml:space="preserve">     inkscape:groupmode="layer"</t>
  </si>
  <si>
    <t xml:space="preserve">  &lt;/g&gt;</t>
  </si>
  <si>
    <t>&lt;/svg&gt;</t>
  </si>
  <si>
    <t>espelho11</t>
  </si>
  <si>
    <t xml:space="preserve">     id="layer1"&gt;</t>
  </si>
  <si>
    <t>x</t>
  </si>
  <si>
    <t>y</t>
  </si>
  <si>
    <t>M</t>
  </si>
  <si>
    <t>C</t>
  </si>
  <si>
    <t>c</t>
  </si>
  <si>
    <t>M 2.1,64 C 5.3,42 54,-41 190,97 210,39 350,-5.7 380,150 c 60,60 110,120 180,150 50,-80 150,-40 170,30 170,-180 370,-10 370,80</t>
  </si>
  <si>
    <t>2.1,64</t>
  </si>
  <si>
    <t>5.3,42</t>
  </si>
  <si>
    <t>54,-41</t>
  </si>
  <si>
    <t>190,97</t>
  </si>
  <si>
    <t>210,39</t>
  </si>
  <si>
    <t>350,-5.7</t>
  </si>
  <si>
    <t>60,60</t>
  </si>
  <si>
    <t>50,-80</t>
  </si>
  <si>
    <t>150,-40</t>
  </si>
  <si>
    <t>170,30</t>
  </si>
  <si>
    <t>170,-180</t>
  </si>
  <si>
    <t>370,-10</t>
  </si>
  <si>
    <t>370,80</t>
  </si>
  <si>
    <t>P0</t>
  </si>
  <si>
    <t>P1</t>
  </si>
  <si>
    <t>P2</t>
  </si>
  <si>
    <t>P3</t>
  </si>
  <si>
    <t>rei</t>
  </si>
  <si>
    <t>M -0.73,47 -0.36,22 C 6.8,21 -1.9,11 26,23 c 18,-4 21,-22.95 74,7 10,-5 20,-7 30,10 50,31 110,40 130,40 V 63 c 10,-27 40,-13 40,1 l 0,12 c 40,-3 70,-8 90,-39 10,-10 20,-16 40,1 0,5 10,12 0,23 l 0,26 70,33</t>
  </si>
  <si>
    <t>peao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</si>
</sst>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310133</xdr:colOff>
      <xdr:row>17</xdr:row>
      <xdr:rowOff>78364</xdr:rowOff>
    </xdr:from>
    <xdr:to>
      <xdr:col>12</xdr:col>
      <xdr:colOff>316145</xdr:colOff>
      <xdr:row>17</xdr:row>
      <xdr:rowOff>99059</xdr:rowOff>
    </xdr:to>
    <xdr:cxnSp macro="">
      <xdr:nvCxnSpPr>
        <xdr:cNvPr id="3" name="Прямая соединительная линия 2"/>
        <xdr:cNvCxnSpPr/>
      </xdr:nvCxnSpPr>
      <xdr:spPr>
        <a:xfrm flipV="1">
          <a:off x="7625333" y="3316864"/>
          <a:ext cx="6012" cy="206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316145</xdr:colOff>
      <xdr:row>17</xdr:row>
      <xdr:rowOff>52669</xdr:rowOff>
    </xdr:from>
    <xdr:to>
      <xdr:col>12</xdr:col>
      <xdr:colOff>329728</xdr:colOff>
      <xdr:row>17</xdr:row>
      <xdr:rowOff>78364</xdr:rowOff>
    </xdr:to>
    <xdr:cxnSp macro="">
      <xdr:nvCxnSpPr>
        <xdr:cNvPr id="4" name="Прямая соединительная линия 3"/>
        <xdr:cNvCxnSpPr/>
      </xdr:nvCxnSpPr>
      <xdr:spPr>
        <a:xfrm flipV="1">
          <a:off x="7631345" y="3291169"/>
          <a:ext cx="13583" cy="2569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329728</xdr:colOff>
      <xdr:row>17</xdr:row>
      <xdr:rowOff>26273</xdr:rowOff>
    </xdr:from>
    <xdr:to>
      <xdr:col>12</xdr:col>
      <xdr:colOff>351519</xdr:colOff>
      <xdr:row>17</xdr:row>
      <xdr:rowOff>52669</xdr:rowOff>
    </xdr:to>
    <xdr:cxnSp macro="">
      <xdr:nvCxnSpPr>
        <xdr:cNvPr id="5" name="Прямая соединительная линия 4"/>
        <xdr:cNvCxnSpPr/>
      </xdr:nvCxnSpPr>
      <xdr:spPr>
        <a:xfrm flipV="1">
          <a:off x="7644928" y="3264773"/>
          <a:ext cx="21791" cy="2639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351519</xdr:colOff>
      <xdr:row>17</xdr:row>
      <xdr:rowOff>3474</xdr:rowOff>
    </xdr:from>
    <xdr:to>
      <xdr:col>12</xdr:col>
      <xdr:colOff>382156</xdr:colOff>
      <xdr:row>17</xdr:row>
      <xdr:rowOff>26273</xdr:rowOff>
    </xdr:to>
    <xdr:cxnSp macro="">
      <xdr:nvCxnSpPr>
        <xdr:cNvPr id="6" name="Прямая соединительная линия 5"/>
        <xdr:cNvCxnSpPr/>
      </xdr:nvCxnSpPr>
      <xdr:spPr>
        <a:xfrm flipV="1">
          <a:off x="7666719" y="3241974"/>
          <a:ext cx="30637" cy="2279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382156</xdr:colOff>
      <xdr:row>16</xdr:row>
      <xdr:rowOff>179070</xdr:rowOff>
    </xdr:from>
    <xdr:to>
      <xdr:col>12</xdr:col>
      <xdr:colOff>422275</xdr:colOff>
      <xdr:row>17</xdr:row>
      <xdr:rowOff>3474</xdr:rowOff>
    </xdr:to>
    <xdr:cxnSp macro="">
      <xdr:nvCxnSpPr>
        <xdr:cNvPr id="7" name="Прямая соединительная линия 6"/>
        <xdr:cNvCxnSpPr/>
      </xdr:nvCxnSpPr>
      <xdr:spPr>
        <a:xfrm flipV="1">
          <a:off x="7697356" y="3227070"/>
          <a:ext cx="40119" cy="1490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472513</xdr:colOff>
      <xdr:row>16</xdr:row>
      <xdr:rowOff>176357</xdr:rowOff>
    </xdr:from>
    <xdr:to>
      <xdr:col>12</xdr:col>
      <xdr:colOff>533507</xdr:colOff>
      <xdr:row>16</xdr:row>
      <xdr:rowOff>190134</xdr:rowOff>
    </xdr:to>
    <xdr:cxnSp macro="">
      <xdr:nvCxnSpPr>
        <xdr:cNvPr id="9" name="Прямая соединительная линия 8"/>
        <xdr:cNvCxnSpPr/>
      </xdr:nvCxnSpPr>
      <xdr:spPr>
        <a:xfrm>
          <a:off x="7787713" y="3224357"/>
          <a:ext cx="60994" cy="1377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533507</xdr:colOff>
      <xdr:row>16</xdr:row>
      <xdr:rowOff>190134</xdr:rowOff>
    </xdr:from>
    <xdr:to>
      <xdr:col>12</xdr:col>
      <xdr:colOff>605895</xdr:colOff>
      <xdr:row>17</xdr:row>
      <xdr:rowOff>34198</xdr:rowOff>
    </xdr:to>
    <xdr:cxnSp macro="">
      <xdr:nvCxnSpPr>
        <xdr:cNvPr id="10" name="Прямая соединительная линия 9"/>
        <xdr:cNvCxnSpPr/>
      </xdr:nvCxnSpPr>
      <xdr:spPr>
        <a:xfrm>
          <a:off x="7848707" y="3238134"/>
          <a:ext cx="72388" cy="3456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177800</xdr:colOff>
      <xdr:row>17</xdr:row>
      <xdr:rowOff>140172</xdr:rowOff>
    </xdr:from>
    <xdr:to>
      <xdr:col>13</xdr:col>
      <xdr:colOff>201600</xdr:colOff>
      <xdr:row>17</xdr:row>
      <xdr:rowOff>182879</xdr:rowOff>
    </xdr:to>
    <xdr:cxnSp macro="">
      <xdr:nvCxnSpPr>
        <xdr:cNvPr id="13" name="Прямая соединительная линия 12"/>
        <xdr:cNvCxnSpPr/>
      </xdr:nvCxnSpPr>
      <xdr:spPr>
        <a:xfrm flipV="1">
          <a:off x="8102600" y="3378672"/>
          <a:ext cx="23800" cy="42707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201600</xdr:colOff>
      <xdr:row>17</xdr:row>
      <xdr:rowOff>102343</xdr:rowOff>
    </xdr:from>
    <xdr:to>
      <xdr:col>13</xdr:col>
      <xdr:colOff>240182</xdr:colOff>
      <xdr:row>17</xdr:row>
      <xdr:rowOff>140172</xdr:rowOff>
    </xdr:to>
    <xdr:cxnSp macro="">
      <xdr:nvCxnSpPr>
        <xdr:cNvPr id="14" name="Прямая соединительная линия 13"/>
        <xdr:cNvCxnSpPr/>
      </xdr:nvCxnSpPr>
      <xdr:spPr>
        <a:xfrm flipV="1">
          <a:off x="8126400" y="3340843"/>
          <a:ext cx="38582" cy="3782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290042</xdr:colOff>
      <xdr:row>17</xdr:row>
      <xdr:rowOff>52726</xdr:rowOff>
    </xdr:from>
    <xdr:to>
      <xdr:col>13</xdr:col>
      <xdr:colOff>347674</xdr:colOff>
      <xdr:row>17</xdr:row>
      <xdr:rowOff>72244</xdr:rowOff>
    </xdr:to>
    <xdr:cxnSp macro="">
      <xdr:nvCxnSpPr>
        <xdr:cNvPr id="16" name="Прямая соединительная линия 15"/>
        <xdr:cNvCxnSpPr/>
      </xdr:nvCxnSpPr>
      <xdr:spPr>
        <a:xfrm flipV="1">
          <a:off x="8214842" y="3291226"/>
          <a:ext cx="57632" cy="1951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409575</xdr:colOff>
      <xdr:row>17</xdr:row>
      <xdr:rowOff>46640</xdr:rowOff>
    </xdr:from>
    <xdr:to>
      <xdr:col>13</xdr:col>
      <xdr:colOff>472237</xdr:colOff>
      <xdr:row>17</xdr:row>
      <xdr:rowOff>56839</xdr:rowOff>
    </xdr:to>
    <xdr:cxnSp macro="">
      <xdr:nvCxnSpPr>
        <xdr:cNvPr id="18" name="Прямая соединительная линия 17"/>
        <xdr:cNvCxnSpPr/>
      </xdr:nvCxnSpPr>
      <xdr:spPr>
        <a:xfrm>
          <a:off x="8334375" y="3285140"/>
          <a:ext cx="62662" cy="10199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472237</xdr:colOff>
      <xdr:row>17</xdr:row>
      <xdr:rowOff>56839</xdr:rowOff>
    </xdr:from>
    <xdr:to>
      <xdr:col>13</xdr:col>
      <xdr:colOff>532155</xdr:colOff>
      <xdr:row>17</xdr:row>
      <xdr:rowOff>86172</xdr:rowOff>
    </xdr:to>
    <xdr:cxnSp macro="">
      <xdr:nvCxnSpPr>
        <xdr:cNvPr id="19" name="Прямая соединительная линия 18"/>
        <xdr:cNvCxnSpPr/>
      </xdr:nvCxnSpPr>
      <xdr:spPr>
        <a:xfrm>
          <a:off x="8397037" y="3295339"/>
          <a:ext cx="59918" cy="29333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585825</xdr:colOff>
      <xdr:row>17</xdr:row>
      <xdr:rowOff>137493</xdr:rowOff>
    </xdr:from>
    <xdr:to>
      <xdr:col>14</xdr:col>
      <xdr:colOff>20142</xdr:colOff>
      <xdr:row>18</xdr:row>
      <xdr:rowOff>23151</xdr:rowOff>
    </xdr:to>
    <xdr:cxnSp macro="">
      <xdr:nvCxnSpPr>
        <xdr:cNvPr id="21" name="Прямая соединительная линия 20"/>
        <xdr:cNvCxnSpPr/>
      </xdr:nvCxnSpPr>
      <xdr:spPr>
        <a:xfrm>
          <a:off x="8510625" y="3375993"/>
          <a:ext cx="43917" cy="76158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95834</xdr:colOff>
      <xdr:row>18</xdr:row>
      <xdr:rowOff>172643</xdr:rowOff>
    </xdr:from>
    <xdr:to>
      <xdr:col>14</xdr:col>
      <xdr:colOff>139801</xdr:colOff>
      <xdr:row>19</xdr:row>
      <xdr:rowOff>27330</xdr:rowOff>
    </xdr:to>
    <xdr:cxnSp macro="">
      <xdr:nvCxnSpPr>
        <xdr:cNvPr id="24" name="Прямая соединительная линия 23"/>
        <xdr:cNvCxnSpPr/>
      </xdr:nvCxnSpPr>
      <xdr:spPr>
        <a:xfrm>
          <a:off x="8630234" y="3601643"/>
          <a:ext cx="43967" cy="4518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139801</xdr:colOff>
      <xdr:row>19</xdr:row>
      <xdr:rowOff>27330</xdr:rowOff>
    </xdr:from>
    <xdr:to>
      <xdr:col>14</xdr:col>
      <xdr:colOff>183159</xdr:colOff>
      <xdr:row>19</xdr:row>
      <xdr:rowOff>71602</xdr:rowOff>
    </xdr:to>
    <xdr:cxnSp macro="">
      <xdr:nvCxnSpPr>
        <xdr:cNvPr id="25" name="Прямая соединительная линия 24"/>
        <xdr:cNvCxnSpPr/>
      </xdr:nvCxnSpPr>
      <xdr:spPr>
        <a:xfrm>
          <a:off x="8674201" y="3646830"/>
          <a:ext cx="43358" cy="442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226364</xdr:colOff>
      <xdr:row>19</xdr:row>
      <xdr:rowOff>114503</xdr:rowOff>
    </xdr:from>
    <xdr:to>
      <xdr:col>14</xdr:col>
      <xdr:colOff>269875</xdr:colOff>
      <xdr:row>19</xdr:row>
      <xdr:rowOff>155575</xdr:rowOff>
    </xdr:to>
    <xdr:cxnSp macro="">
      <xdr:nvCxnSpPr>
        <xdr:cNvPr id="27" name="Прямая соединительная линия 26"/>
        <xdr:cNvCxnSpPr/>
      </xdr:nvCxnSpPr>
      <xdr:spPr>
        <a:xfrm>
          <a:off x="8760764" y="3734003"/>
          <a:ext cx="43511" cy="410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269875</xdr:colOff>
      <xdr:row>19</xdr:row>
      <xdr:rowOff>155575</xdr:rowOff>
    </xdr:from>
    <xdr:to>
      <xdr:col>14</xdr:col>
      <xdr:colOff>314147</xdr:colOff>
      <xdr:row>20</xdr:row>
      <xdr:rowOff>3860</xdr:rowOff>
    </xdr:to>
    <xdr:cxnSp macro="">
      <xdr:nvCxnSpPr>
        <xdr:cNvPr id="28" name="Прямая соединительная линия 27"/>
        <xdr:cNvCxnSpPr/>
      </xdr:nvCxnSpPr>
      <xdr:spPr>
        <a:xfrm>
          <a:off x="8804275" y="3775075"/>
          <a:ext cx="44272" cy="387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314147</xdr:colOff>
      <xdr:row>20</xdr:row>
      <xdr:rowOff>3860</xdr:rowOff>
    </xdr:from>
    <xdr:to>
      <xdr:col>14</xdr:col>
      <xdr:colOff>359638</xdr:colOff>
      <xdr:row>20</xdr:row>
      <xdr:rowOff>39903</xdr:rowOff>
    </xdr:to>
    <xdr:cxnSp macro="">
      <xdr:nvCxnSpPr>
        <xdr:cNvPr id="29" name="Прямая соединительная линия 28"/>
        <xdr:cNvCxnSpPr/>
      </xdr:nvCxnSpPr>
      <xdr:spPr>
        <a:xfrm>
          <a:off x="8848547" y="3813860"/>
          <a:ext cx="45491" cy="3604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359638</xdr:colOff>
      <xdr:row>20</xdr:row>
      <xdr:rowOff>39903</xdr:rowOff>
    </xdr:from>
    <xdr:to>
      <xdr:col>14</xdr:col>
      <xdr:colOff>406806</xdr:colOff>
      <xdr:row>20</xdr:row>
      <xdr:rowOff>72745</xdr:rowOff>
    </xdr:to>
    <xdr:cxnSp macro="">
      <xdr:nvCxnSpPr>
        <xdr:cNvPr id="30" name="Прямая соединительная линия 29"/>
        <xdr:cNvCxnSpPr/>
      </xdr:nvCxnSpPr>
      <xdr:spPr>
        <a:xfrm>
          <a:off x="8894038" y="3849903"/>
          <a:ext cx="47168" cy="3284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406806</xdr:colOff>
      <xdr:row>20</xdr:row>
      <xdr:rowOff>72745</xdr:rowOff>
    </xdr:from>
    <xdr:to>
      <xdr:col>14</xdr:col>
      <xdr:colOff>456107</xdr:colOff>
      <xdr:row>20</xdr:row>
      <xdr:rowOff>101930</xdr:rowOff>
    </xdr:to>
    <xdr:cxnSp macro="">
      <xdr:nvCxnSpPr>
        <xdr:cNvPr id="31" name="Прямая соединительная линия 30"/>
        <xdr:cNvCxnSpPr/>
      </xdr:nvCxnSpPr>
      <xdr:spPr>
        <a:xfrm>
          <a:off x="8941206" y="3882745"/>
          <a:ext cx="49301" cy="291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456107</xdr:colOff>
      <xdr:row>20</xdr:row>
      <xdr:rowOff>101930</xdr:rowOff>
    </xdr:from>
    <xdr:to>
      <xdr:col>14</xdr:col>
      <xdr:colOff>508000</xdr:colOff>
      <xdr:row>20</xdr:row>
      <xdr:rowOff>127000</xdr:rowOff>
    </xdr:to>
    <xdr:cxnSp macro="">
      <xdr:nvCxnSpPr>
        <xdr:cNvPr id="32" name="Прямая соединительная линия 31"/>
        <xdr:cNvCxnSpPr/>
      </xdr:nvCxnSpPr>
      <xdr:spPr>
        <a:xfrm>
          <a:off x="8990507" y="3911930"/>
          <a:ext cx="51893" cy="2507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508000</xdr:colOff>
      <xdr:row>20</xdr:row>
      <xdr:rowOff>74955</xdr:rowOff>
    </xdr:from>
    <xdr:to>
      <xdr:col>14</xdr:col>
      <xdr:colOff>549579</xdr:colOff>
      <xdr:row>20</xdr:row>
      <xdr:rowOff>127000</xdr:rowOff>
    </xdr:to>
    <xdr:cxnSp macro="">
      <xdr:nvCxnSpPr>
        <xdr:cNvPr id="33" name="Прямая соединительная линия 32"/>
        <xdr:cNvCxnSpPr/>
      </xdr:nvCxnSpPr>
      <xdr:spPr>
        <a:xfrm flipV="1">
          <a:off x="9042400" y="3884955"/>
          <a:ext cx="41579" cy="5204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596798</xdr:colOff>
      <xdr:row>20</xdr:row>
      <xdr:rowOff>20243</xdr:rowOff>
    </xdr:from>
    <xdr:to>
      <xdr:col>15</xdr:col>
      <xdr:colOff>38074</xdr:colOff>
      <xdr:row>20</xdr:row>
      <xdr:rowOff>39827</xdr:rowOff>
    </xdr:to>
    <xdr:cxnSp macro="">
      <xdr:nvCxnSpPr>
        <xdr:cNvPr id="35" name="Прямая соединительная линия 34"/>
        <xdr:cNvCxnSpPr/>
      </xdr:nvCxnSpPr>
      <xdr:spPr>
        <a:xfrm flipV="1">
          <a:off x="9131198" y="3830243"/>
          <a:ext cx="50876" cy="19584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38074</xdr:colOff>
      <xdr:row>20</xdr:row>
      <xdr:rowOff>14833</xdr:rowOff>
    </xdr:from>
    <xdr:to>
      <xdr:col>15</xdr:col>
      <xdr:colOff>90627</xdr:colOff>
      <xdr:row>20</xdr:row>
      <xdr:rowOff>20243</xdr:rowOff>
    </xdr:to>
    <xdr:cxnSp macro="">
      <xdr:nvCxnSpPr>
        <xdr:cNvPr id="36" name="Прямая соединительная линия 35"/>
        <xdr:cNvCxnSpPr/>
      </xdr:nvCxnSpPr>
      <xdr:spPr>
        <a:xfrm flipV="1">
          <a:off x="9182074" y="3824833"/>
          <a:ext cx="52553" cy="5410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90627</xdr:colOff>
      <xdr:row>20</xdr:row>
      <xdr:rowOff>14833</xdr:rowOff>
    </xdr:from>
    <xdr:to>
      <xdr:col>15</xdr:col>
      <xdr:colOff>142875</xdr:colOff>
      <xdr:row>20</xdr:row>
      <xdr:rowOff>22225</xdr:rowOff>
    </xdr:to>
    <xdr:cxnSp macro="">
      <xdr:nvCxnSpPr>
        <xdr:cNvPr id="37" name="Прямая соединительная линия 36"/>
        <xdr:cNvCxnSpPr/>
      </xdr:nvCxnSpPr>
      <xdr:spPr>
        <a:xfrm>
          <a:off x="9234627" y="3824833"/>
          <a:ext cx="52248" cy="7392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192837</xdr:colOff>
      <xdr:row>20</xdr:row>
      <xdr:rowOff>41046</xdr:rowOff>
    </xdr:from>
    <xdr:to>
      <xdr:col>15</xdr:col>
      <xdr:colOff>238531</xdr:colOff>
      <xdr:row>20</xdr:row>
      <xdr:rowOff>69926</xdr:rowOff>
    </xdr:to>
    <xdr:cxnSp macro="">
      <xdr:nvCxnSpPr>
        <xdr:cNvPr id="39" name="Прямая соединительная линия 38"/>
        <xdr:cNvCxnSpPr/>
      </xdr:nvCxnSpPr>
      <xdr:spPr>
        <a:xfrm>
          <a:off x="9336837" y="3851046"/>
          <a:ext cx="45694" cy="28880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238531</xdr:colOff>
      <xdr:row>20</xdr:row>
      <xdr:rowOff>69926</xdr:rowOff>
    </xdr:from>
    <xdr:to>
      <xdr:col>15</xdr:col>
      <xdr:colOff>277977</xdr:colOff>
      <xdr:row>20</xdr:row>
      <xdr:rowOff>107492</xdr:rowOff>
    </xdr:to>
    <xdr:cxnSp macro="">
      <xdr:nvCxnSpPr>
        <xdr:cNvPr id="40" name="Прямая соединительная линия 39"/>
        <xdr:cNvCxnSpPr/>
      </xdr:nvCxnSpPr>
      <xdr:spPr>
        <a:xfrm>
          <a:off x="9382531" y="3879926"/>
          <a:ext cx="39446" cy="3756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309194</xdr:colOff>
      <xdr:row>20</xdr:row>
      <xdr:rowOff>152374</xdr:rowOff>
    </xdr:from>
    <xdr:to>
      <xdr:col>15</xdr:col>
      <xdr:colOff>330200</xdr:colOff>
      <xdr:row>21</xdr:row>
      <xdr:rowOff>12700</xdr:rowOff>
    </xdr:to>
    <xdr:cxnSp macro="">
      <xdr:nvCxnSpPr>
        <xdr:cNvPr id="42" name="Прямая соединительная линия 41"/>
        <xdr:cNvCxnSpPr/>
      </xdr:nvCxnSpPr>
      <xdr:spPr>
        <a:xfrm>
          <a:off x="9453194" y="3962374"/>
          <a:ext cx="21006" cy="5082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330200</xdr:colOff>
      <xdr:row>20</xdr:row>
      <xdr:rowOff>91617</xdr:rowOff>
    </xdr:from>
    <xdr:to>
      <xdr:col>15</xdr:col>
      <xdr:colOff>461441</xdr:colOff>
      <xdr:row>21</xdr:row>
      <xdr:rowOff>12700</xdr:rowOff>
    </xdr:to>
    <xdr:cxnSp macro="">
      <xdr:nvCxnSpPr>
        <xdr:cNvPr id="43" name="Прямая соединительная линия 42"/>
        <xdr:cNvCxnSpPr/>
      </xdr:nvCxnSpPr>
      <xdr:spPr>
        <a:xfrm flipV="1">
          <a:off x="9474200" y="3901617"/>
          <a:ext cx="131241" cy="11158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114020</xdr:colOff>
      <xdr:row>20</xdr:row>
      <xdr:rowOff>2260</xdr:rowOff>
    </xdr:from>
    <xdr:to>
      <xdr:col>16</xdr:col>
      <xdr:colOff>237947</xdr:colOff>
      <xdr:row>20</xdr:row>
      <xdr:rowOff>11379</xdr:rowOff>
    </xdr:to>
    <xdr:cxnSp macro="">
      <xdr:nvCxnSpPr>
        <xdr:cNvPr id="46" name="Прямая соединительная линия 45"/>
        <xdr:cNvCxnSpPr/>
      </xdr:nvCxnSpPr>
      <xdr:spPr>
        <a:xfrm>
          <a:off x="9867620" y="3812260"/>
          <a:ext cx="123927" cy="91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237947</xdr:colOff>
      <xdr:row>20</xdr:row>
      <xdr:rowOff>11379</xdr:rowOff>
    </xdr:from>
    <xdr:to>
      <xdr:col>16</xdr:col>
      <xdr:colOff>352425</xdr:colOff>
      <xdr:row>20</xdr:row>
      <xdr:rowOff>47625</xdr:rowOff>
    </xdr:to>
    <xdr:cxnSp macro="">
      <xdr:nvCxnSpPr>
        <xdr:cNvPr id="47" name="Прямая соединительная линия 46"/>
        <xdr:cNvCxnSpPr/>
      </xdr:nvCxnSpPr>
      <xdr:spPr>
        <a:xfrm>
          <a:off x="9991547" y="3821379"/>
          <a:ext cx="114478" cy="3624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352425</xdr:colOff>
      <xdr:row>20</xdr:row>
      <xdr:rowOff>47625</xdr:rowOff>
    </xdr:from>
    <xdr:to>
      <xdr:col>16</xdr:col>
      <xdr:colOff>453949</xdr:colOff>
      <xdr:row>20</xdr:row>
      <xdr:rowOff>104444</xdr:rowOff>
    </xdr:to>
    <xdr:cxnSp macro="">
      <xdr:nvCxnSpPr>
        <xdr:cNvPr id="48" name="Прямая соединительная линия 47"/>
        <xdr:cNvCxnSpPr/>
      </xdr:nvCxnSpPr>
      <xdr:spPr>
        <a:xfrm>
          <a:off x="10106025" y="3857625"/>
          <a:ext cx="101524" cy="568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453949</xdr:colOff>
      <xdr:row>20</xdr:row>
      <xdr:rowOff>104444</xdr:rowOff>
    </xdr:from>
    <xdr:to>
      <xdr:col>16</xdr:col>
      <xdr:colOff>539013</xdr:colOff>
      <xdr:row>20</xdr:row>
      <xdr:rowOff>175285</xdr:rowOff>
    </xdr:to>
    <xdr:cxnSp macro="">
      <xdr:nvCxnSpPr>
        <xdr:cNvPr id="49" name="Прямая соединительная линия 48"/>
        <xdr:cNvCxnSpPr/>
      </xdr:nvCxnSpPr>
      <xdr:spPr>
        <a:xfrm>
          <a:off x="10207549" y="3914444"/>
          <a:ext cx="85064" cy="7084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539013</xdr:colOff>
      <xdr:row>20</xdr:row>
      <xdr:rowOff>175285</xdr:rowOff>
    </xdr:from>
    <xdr:to>
      <xdr:col>16</xdr:col>
      <xdr:colOff>604113</xdr:colOff>
      <xdr:row>21</xdr:row>
      <xdr:rowOff>63093</xdr:rowOff>
    </xdr:to>
    <xdr:cxnSp macro="">
      <xdr:nvCxnSpPr>
        <xdr:cNvPr id="50" name="Прямая соединительная линия 49"/>
        <xdr:cNvCxnSpPr/>
      </xdr:nvCxnSpPr>
      <xdr:spPr>
        <a:xfrm>
          <a:off x="10292613" y="3985285"/>
          <a:ext cx="65100" cy="7830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604113</xdr:colOff>
      <xdr:row>21</xdr:row>
      <xdr:rowOff>63093</xdr:rowOff>
    </xdr:from>
    <xdr:to>
      <xdr:col>17</xdr:col>
      <xdr:colOff>36144</xdr:colOff>
      <xdr:row>21</xdr:row>
      <xdr:rowOff>142316</xdr:rowOff>
    </xdr:to>
    <xdr:cxnSp macro="">
      <xdr:nvCxnSpPr>
        <xdr:cNvPr id="51" name="Прямая соединительная линия 50"/>
        <xdr:cNvCxnSpPr/>
      </xdr:nvCxnSpPr>
      <xdr:spPr>
        <a:xfrm>
          <a:off x="10357713" y="4063593"/>
          <a:ext cx="41631" cy="7922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36144</xdr:colOff>
      <xdr:row>21</xdr:row>
      <xdr:rowOff>142316</xdr:rowOff>
    </xdr:from>
    <xdr:to>
      <xdr:col>17</xdr:col>
      <xdr:colOff>50800</xdr:colOff>
      <xdr:row>22</xdr:row>
      <xdr:rowOff>25400</xdr:rowOff>
    </xdr:to>
    <xdr:cxnSp macro="">
      <xdr:nvCxnSpPr>
        <xdr:cNvPr id="52" name="Прямая соединительная линия 51"/>
        <xdr:cNvCxnSpPr/>
      </xdr:nvCxnSpPr>
      <xdr:spPr>
        <a:xfrm>
          <a:off x="10399344" y="4142816"/>
          <a:ext cx="14656" cy="7358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200024</xdr:colOff>
      <xdr:row>2</xdr:row>
      <xdr:rowOff>38100</xdr:rowOff>
    </xdr:from>
    <xdr:to>
      <xdr:col>18</xdr:col>
      <xdr:colOff>495299</xdr:colOff>
      <xdr:row>14</xdr:row>
      <xdr:rowOff>54139</xdr:rowOff>
    </xdr:to>
    <xdr:pic>
      <xdr:nvPicPr>
        <xdr:cNvPr id="5126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4" y="419100"/>
          <a:ext cx="4562475" cy="2302039"/>
        </a:xfrm>
        <a:prstGeom prst="rect">
          <a:avLst/>
        </a:prstGeom>
        <a:noFill/>
      </xdr:spPr>
    </xdr:pic>
    <xdr:clientData/>
  </xdr:twoCellAnchor>
  <xdr:twoCellAnchor>
    <xdr:from>
      <xdr:col>2</xdr:col>
      <xdr:colOff>69469</xdr:colOff>
      <xdr:row>82</xdr:row>
      <xdr:rowOff>115524</xdr:rowOff>
    </xdr:from>
    <xdr:to>
      <xdr:col>2</xdr:col>
      <xdr:colOff>90509</xdr:colOff>
      <xdr:row>82</xdr:row>
      <xdr:rowOff>187960</xdr:rowOff>
    </xdr:to>
    <xdr:cxnSp macro="">
      <xdr:nvCxnSpPr>
        <xdr:cNvPr id="503" name="Прямая соединительная линия 502"/>
        <xdr:cNvCxnSpPr/>
      </xdr:nvCxnSpPr>
      <xdr:spPr>
        <a:xfrm flipV="1">
          <a:off x="1288669" y="15736524"/>
          <a:ext cx="21040" cy="7243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90509</xdr:colOff>
      <xdr:row>82</xdr:row>
      <xdr:rowOff>25593</xdr:rowOff>
    </xdr:from>
    <xdr:to>
      <xdr:col>2</xdr:col>
      <xdr:colOff>138050</xdr:colOff>
      <xdr:row>82</xdr:row>
      <xdr:rowOff>115524</xdr:rowOff>
    </xdr:to>
    <xdr:cxnSp macro="">
      <xdr:nvCxnSpPr>
        <xdr:cNvPr id="504" name="Прямая соединительная линия 503"/>
        <xdr:cNvCxnSpPr/>
      </xdr:nvCxnSpPr>
      <xdr:spPr>
        <a:xfrm flipV="1">
          <a:off x="1309709" y="15646593"/>
          <a:ext cx="47541" cy="89931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138050</xdr:colOff>
      <xdr:row>81</xdr:row>
      <xdr:rowOff>123708</xdr:rowOff>
    </xdr:from>
    <xdr:to>
      <xdr:col>2</xdr:col>
      <xdr:colOff>214319</xdr:colOff>
      <xdr:row>82</xdr:row>
      <xdr:rowOff>25593</xdr:rowOff>
    </xdr:to>
    <xdr:cxnSp macro="">
      <xdr:nvCxnSpPr>
        <xdr:cNvPr id="505" name="Прямая соединительная линия 504"/>
        <xdr:cNvCxnSpPr/>
      </xdr:nvCxnSpPr>
      <xdr:spPr>
        <a:xfrm flipV="1">
          <a:off x="1357250" y="15554208"/>
          <a:ext cx="76269" cy="9238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214319</xdr:colOff>
      <xdr:row>81</xdr:row>
      <xdr:rowOff>43912</xdr:rowOff>
    </xdr:from>
    <xdr:to>
      <xdr:col>2</xdr:col>
      <xdr:colOff>321546</xdr:colOff>
      <xdr:row>81</xdr:row>
      <xdr:rowOff>123708</xdr:rowOff>
    </xdr:to>
    <xdr:cxnSp macro="">
      <xdr:nvCxnSpPr>
        <xdr:cNvPr id="506" name="Прямая соединительная линия 505"/>
        <xdr:cNvCxnSpPr/>
      </xdr:nvCxnSpPr>
      <xdr:spPr>
        <a:xfrm flipV="1">
          <a:off x="1433519" y="15474412"/>
          <a:ext cx="107227" cy="79796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321546</xdr:colOff>
      <xdr:row>80</xdr:row>
      <xdr:rowOff>182244</xdr:rowOff>
    </xdr:from>
    <xdr:to>
      <xdr:col>2</xdr:col>
      <xdr:colOff>461962</xdr:colOff>
      <xdr:row>81</xdr:row>
      <xdr:rowOff>43912</xdr:rowOff>
    </xdr:to>
    <xdr:cxnSp macro="">
      <xdr:nvCxnSpPr>
        <xdr:cNvPr id="507" name="Прямая соединительная линия 506"/>
        <xdr:cNvCxnSpPr/>
      </xdr:nvCxnSpPr>
      <xdr:spPr>
        <a:xfrm flipV="1">
          <a:off x="1540746" y="15422244"/>
          <a:ext cx="140416" cy="5216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461962</xdr:colOff>
      <xdr:row>80</xdr:row>
      <xdr:rowOff>172750</xdr:rowOff>
    </xdr:from>
    <xdr:to>
      <xdr:col>3</xdr:col>
      <xdr:colOff>28195</xdr:colOff>
      <xdr:row>80</xdr:row>
      <xdr:rowOff>182244</xdr:rowOff>
    </xdr:to>
    <xdr:cxnSp macro="">
      <xdr:nvCxnSpPr>
        <xdr:cNvPr id="508" name="Прямая соединительная линия 507"/>
        <xdr:cNvCxnSpPr/>
      </xdr:nvCxnSpPr>
      <xdr:spPr>
        <a:xfrm flipV="1">
          <a:off x="1681162" y="15412750"/>
          <a:ext cx="175833" cy="9494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28195</xdr:colOff>
      <xdr:row>80</xdr:row>
      <xdr:rowOff>172750</xdr:rowOff>
    </xdr:from>
    <xdr:to>
      <xdr:col>3</xdr:col>
      <xdr:colOff>241676</xdr:colOff>
      <xdr:row>81</xdr:row>
      <xdr:rowOff>30469</xdr:rowOff>
    </xdr:to>
    <xdr:cxnSp macro="">
      <xdr:nvCxnSpPr>
        <xdr:cNvPr id="509" name="Прямая соединительная линия 508"/>
        <xdr:cNvCxnSpPr/>
      </xdr:nvCxnSpPr>
      <xdr:spPr>
        <a:xfrm>
          <a:off x="1856995" y="15412750"/>
          <a:ext cx="213481" cy="4821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241676</xdr:colOff>
      <xdr:row>81</xdr:row>
      <xdr:rowOff>30469</xdr:rowOff>
    </xdr:from>
    <xdr:to>
      <xdr:col>3</xdr:col>
      <xdr:colOff>495034</xdr:colOff>
      <xdr:row>81</xdr:row>
      <xdr:rowOff>151445</xdr:rowOff>
    </xdr:to>
    <xdr:cxnSp macro="">
      <xdr:nvCxnSpPr>
        <xdr:cNvPr id="510" name="Прямая соединительная линия 509"/>
        <xdr:cNvCxnSpPr/>
      </xdr:nvCxnSpPr>
      <xdr:spPr>
        <a:xfrm>
          <a:off x="2070476" y="15460969"/>
          <a:ext cx="253358" cy="120976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495034</xdr:colOff>
      <xdr:row>81</xdr:row>
      <xdr:rowOff>151445</xdr:rowOff>
    </xdr:from>
    <xdr:to>
      <xdr:col>4</xdr:col>
      <xdr:colOff>180899</xdr:colOff>
      <xdr:row>82</xdr:row>
      <xdr:rowOff>169718</xdr:rowOff>
    </xdr:to>
    <xdr:cxnSp macro="">
      <xdr:nvCxnSpPr>
        <xdr:cNvPr id="511" name="Прямая соединительная линия 510"/>
        <xdr:cNvCxnSpPr/>
      </xdr:nvCxnSpPr>
      <xdr:spPr>
        <a:xfrm>
          <a:off x="2323834" y="15581945"/>
          <a:ext cx="295465" cy="208773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180899</xdr:colOff>
      <xdr:row>82</xdr:row>
      <xdr:rowOff>169718</xdr:rowOff>
    </xdr:from>
    <xdr:to>
      <xdr:col>4</xdr:col>
      <xdr:colOff>520700</xdr:colOff>
      <xdr:row>84</xdr:row>
      <xdr:rowOff>100330</xdr:rowOff>
    </xdr:to>
    <xdr:cxnSp macro="">
      <xdr:nvCxnSpPr>
        <xdr:cNvPr id="512" name="Прямая соединительная линия 511"/>
        <xdr:cNvCxnSpPr/>
      </xdr:nvCxnSpPr>
      <xdr:spPr>
        <a:xfrm>
          <a:off x="2619299" y="15790718"/>
          <a:ext cx="339801" cy="311612"/>
        </a:xfrm>
        <a:prstGeom prst="line">
          <a:avLst/>
        </a:prstGeom>
        <a:ln w="635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520700</xdr:colOff>
      <xdr:row>83</xdr:row>
      <xdr:rowOff>141354</xdr:rowOff>
    </xdr:from>
    <xdr:to>
      <xdr:col>4</xdr:col>
      <xdr:colOff>603999</xdr:colOff>
      <xdr:row>84</xdr:row>
      <xdr:rowOff>100330</xdr:rowOff>
    </xdr:to>
    <xdr:cxnSp macro="">
      <xdr:nvCxnSpPr>
        <xdr:cNvPr id="513" name="Прямая соединительная линия 512"/>
        <xdr:cNvCxnSpPr/>
      </xdr:nvCxnSpPr>
      <xdr:spPr>
        <a:xfrm flipV="1">
          <a:off x="2959100" y="15952854"/>
          <a:ext cx="83299" cy="14947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603999</xdr:colOff>
      <xdr:row>83</xdr:row>
      <xdr:rowOff>8952</xdr:rowOff>
    </xdr:from>
    <xdr:to>
      <xdr:col>5</xdr:col>
      <xdr:colOff>129438</xdr:colOff>
      <xdr:row>83</xdr:row>
      <xdr:rowOff>141354</xdr:rowOff>
    </xdr:to>
    <xdr:cxnSp macro="">
      <xdr:nvCxnSpPr>
        <xdr:cNvPr id="514" name="Прямая соединительная линия 513"/>
        <xdr:cNvCxnSpPr/>
      </xdr:nvCxnSpPr>
      <xdr:spPr>
        <a:xfrm flipV="1">
          <a:off x="3042399" y="15820452"/>
          <a:ext cx="135039" cy="132402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129438</xdr:colOff>
      <xdr:row>82</xdr:row>
      <xdr:rowOff>94105</xdr:rowOff>
    </xdr:from>
    <xdr:to>
      <xdr:col>5</xdr:col>
      <xdr:colOff>303949</xdr:colOff>
      <xdr:row>83</xdr:row>
      <xdr:rowOff>8952</xdr:rowOff>
    </xdr:to>
    <xdr:cxnSp macro="">
      <xdr:nvCxnSpPr>
        <xdr:cNvPr id="515" name="Прямая соединительная линия 514"/>
        <xdr:cNvCxnSpPr/>
      </xdr:nvCxnSpPr>
      <xdr:spPr>
        <a:xfrm flipV="1">
          <a:off x="3177438" y="15715105"/>
          <a:ext cx="174511" cy="10534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303949</xdr:colOff>
      <xdr:row>82</xdr:row>
      <xdr:rowOff>25792</xdr:rowOff>
    </xdr:from>
    <xdr:to>
      <xdr:col>5</xdr:col>
      <xdr:colOff>505663</xdr:colOff>
      <xdr:row>82</xdr:row>
      <xdr:rowOff>94105</xdr:rowOff>
    </xdr:to>
    <xdr:cxnSp macro="">
      <xdr:nvCxnSpPr>
        <xdr:cNvPr id="516" name="Прямая соединительная линия 515"/>
        <xdr:cNvCxnSpPr/>
      </xdr:nvCxnSpPr>
      <xdr:spPr>
        <a:xfrm flipV="1">
          <a:off x="3351949" y="15646792"/>
          <a:ext cx="201714" cy="68313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505663</xdr:colOff>
      <xdr:row>82</xdr:row>
      <xdr:rowOff>4492</xdr:rowOff>
    </xdr:from>
    <xdr:to>
      <xdr:col>6</xdr:col>
      <xdr:colOff>112712</xdr:colOff>
      <xdr:row>82</xdr:row>
      <xdr:rowOff>25792</xdr:rowOff>
    </xdr:to>
    <xdr:cxnSp macro="">
      <xdr:nvCxnSpPr>
        <xdr:cNvPr id="517" name="Прямая соединительная линия 516"/>
        <xdr:cNvCxnSpPr/>
      </xdr:nvCxnSpPr>
      <xdr:spPr>
        <a:xfrm flipV="1">
          <a:off x="3553663" y="15625492"/>
          <a:ext cx="216649" cy="21300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112712</xdr:colOff>
      <xdr:row>82</xdr:row>
      <xdr:rowOff>4492</xdr:rowOff>
    </xdr:from>
    <xdr:to>
      <xdr:col>6</xdr:col>
      <xdr:colOff>332028</xdr:colOff>
      <xdr:row>82</xdr:row>
      <xdr:rowOff>40186</xdr:rowOff>
    </xdr:to>
    <xdr:cxnSp macro="">
      <xdr:nvCxnSpPr>
        <xdr:cNvPr id="518" name="Прямая соединительная линия 517"/>
        <xdr:cNvCxnSpPr/>
      </xdr:nvCxnSpPr>
      <xdr:spPr>
        <a:xfrm>
          <a:off x="3770312" y="15625492"/>
          <a:ext cx="219316" cy="35694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332028</xdr:colOff>
      <xdr:row>82</xdr:row>
      <xdr:rowOff>40186</xdr:rowOff>
    </xdr:from>
    <xdr:to>
      <xdr:col>6</xdr:col>
      <xdr:colOff>541744</xdr:colOff>
      <xdr:row>82</xdr:row>
      <xdr:rowOff>142854</xdr:rowOff>
    </xdr:to>
    <xdr:cxnSp macro="">
      <xdr:nvCxnSpPr>
        <xdr:cNvPr id="519" name="Прямая соединительная линия 518"/>
        <xdr:cNvCxnSpPr/>
      </xdr:nvCxnSpPr>
      <xdr:spPr>
        <a:xfrm>
          <a:off x="3989628" y="15661186"/>
          <a:ext cx="209716" cy="10266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541744</xdr:colOff>
      <xdr:row>82</xdr:row>
      <xdr:rowOff>142854</xdr:rowOff>
    </xdr:from>
    <xdr:to>
      <xdr:col>7</xdr:col>
      <xdr:colOff>119989</xdr:colOff>
      <xdr:row>83</xdr:row>
      <xdr:rowOff>131976</xdr:rowOff>
    </xdr:to>
    <xdr:cxnSp macro="">
      <xdr:nvCxnSpPr>
        <xdr:cNvPr id="520" name="Прямая соединительная линия 519"/>
        <xdr:cNvCxnSpPr/>
      </xdr:nvCxnSpPr>
      <xdr:spPr>
        <a:xfrm>
          <a:off x="4199344" y="15763854"/>
          <a:ext cx="187845" cy="179622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119989</xdr:colOff>
      <xdr:row>83</xdr:row>
      <xdr:rowOff>131976</xdr:rowOff>
    </xdr:from>
    <xdr:to>
      <xdr:col>7</xdr:col>
      <xdr:colOff>273697</xdr:colOff>
      <xdr:row>85</xdr:row>
      <xdr:rowOff>17530</xdr:rowOff>
    </xdr:to>
    <xdr:cxnSp macro="">
      <xdr:nvCxnSpPr>
        <xdr:cNvPr id="521" name="Прямая соединительная линия 520"/>
        <xdr:cNvCxnSpPr/>
      </xdr:nvCxnSpPr>
      <xdr:spPr>
        <a:xfrm>
          <a:off x="4387189" y="15943476"/>
          <a:ext cx="153708" cy="26655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273697</xdr:colOff>
      <xdr:row>85</xdr:row>
      <xdr:rowOff>17530</xdr:rowOff>
    </xdr:from>
    <xdr:to>
      <xdr:col>7</xdr:col>
      <xdr:colOff>381000</xdr:colOff>
      <xdr:row>87</xdr:row>
      <xdr:rowOff>0</xdr:rowOff>
    </xdr:to>
    <xdr:cxnSp macro="">
      <xdr:nvCxnSpPr>
        <xdr:cNvPr id="522" name="Прямая соединительная линия 521"/>
        <xdr:cNvCxnSpPr/>
      </xdr:nvCxnSpPr>
      <xdr:spPr>
        <a:xfrm>
          <a:off x="4540897" y="16210030"/>
          <a:ext cx="107303" cy="363470"/>
        </a:xfrm>
        <a:prstGeom prst="line">
          <a:avLst/>
        </a:prstGeom>
        <a:ln w="63500"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381000</xdr:colOff>
      <xdr:row>87</xdr:row>
      <xdr:rowOff>0</xdr:rowOff>
    </xdr:from>
    <xdr:to>
      <xdr:col>7</xdr:col>
      <xdr:colOff>538619</xdr:colOff>
      <xdr:row>87</xdr:row>
      <xdr:rowOff>159753</xdr:rowOff>
    </xdr:to>
    <xdr:cxnSp macro="">
      <xdr:nvCxnSpPr>
        <xdr:cNvPr id="523" name="Прямая соединительная линия 522"/>
        <xdr:cNvCxnSpPr/>
      </xdr:nvCxnSpPr>
      <xdr:spPr>
        <a:xfrm>
          <a:off x="4648200" y="16573500"/>
          <a:ext cx="157619" cy="15975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538619</xdr:colOff>
      <xdr:row>87</xdr:row>
      <xdr:rowOff>159753</xdr:rowOff>
    </xdr:from>
    <xdr:to>
      <xdr:col>8</xdr:col>
      <xdr:colOff>82905</xdr:colOff>
      <xdr:row>88</xdr:row>
      <xdr:rowOff>127406</xdr:rowOff>
    </xdr:to>
    <xdr:cxnSp macro="">
      <xdr:nvCxnSpPr>
        <xdr:cNvPr id="524" name="Прямая соединительная линия 523"/>
        <xdr:cNvCxnSpPr/>
      </xdr:nvCxnSpPr>
      <xdr:spPr>
        <a:xfrm>
          <a:off x="4805819" y="16733253"/>
          <a:ext cx="153886" cy="158153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82905</xdr:colOff>
      <xdr:row>88</xdr:row>
      <xdr:rowOff>127406</xdr:rowOff>
    </xdr:from>
    <xdr:to>
      <xdr:col>8</xdr:col>
      <xdr:colOff>234657</xdr:colOff>
      <xdr:row>89</xdr:row>
      <xdr:rowOff>91859</xdr:rowOff>
    </xdr:to>
    <xdr:cxnSp macro="">
      <xdr:nvCxnSpPr>
        <xdr:cNvPr id="525" name="Прямая соединительная линия 524"/>
        <xdr:cNvCxnSpPr/>
      </xdr:nvCxnSpPr>
      <xdr:spPr>
        <a:xfrm>
          <a:off x="4959705" y="16891406"/>
          <a:ext cx="151752" cy="15495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234657</xdr:colOff>
      <xdr:row>89</xdr:row>
      <xdr:rowOff>91859</xdr:rowOff>
    </xdr:from>
    <xdr:to>
      <xdr:col>8</xdr:col>
      <xdr:colOff>385876</xdr:colOff>
      <xdr:row>90</xdr:row>
      <xdr:rowOff>51511</xdr:rowOff>
    </xdr:to>
    <xdr:cxnSp macro="">
      <xdr:nvCxnSpPr>
        <xdr:cNvPr id="526" name="Прямая соединительная линия 525"/>
        <xdr:cNvCxnSpPr/>
      </xdr:nvCxnSpPr>
      <xdr:spPr>
        <a:xfrm>
          <a:off x="5111457" y="17046359"/>
          <a:ext cx="151219" cy="150152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385876</xdr:colOff>
      <xdr:row>90</xdr:row>
      <xdr:rowOff>51511</xdr:rowOff>
    </xdr:from>
    <xdr:to>
      <xdr:col>8</xdr:col>
      <xdr:colOff>538162</xdr:colOff>
      <xdr:row>91</xdr:row>
      <xdr:rowOff>4762</xdr:rowOff>
    </xdr:to>
    <xdr:cxnSp macro="">
      <xdr:nvCxnSpPr>
        <xdr:cNvPr id="527" name="Прямая соединительная линия 526"/>
        <xdr:cNvCxnSpPr/>
      </xdr:nvCxnSpPr>
      <xdr:spPr>
        <a:xfrm>
          <a:off x="5262676" y="17196511"/>
          <a:ext cx="152286" cy="14375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538162</xdr:colOff>
      <xdr:row>91</xdr:row>
      <xdr:rowOff>4762</xdr:rowOff>
    </xdr:from>
    <xdr:to>
      <xdr:col>9</xdr:col>
      <xdr:colOff>83515</xdr:colOff>
      <xdr:row>91</xdr:row>
      <xdr:rowOff>140512</xdr:rowOff>
    </xdr:to>
    <xdr:cxnSp macro="">
      <xdr:nvCxnSpPr>
        <xdr:cNvPr id="528" name="Прямая соединительная линия 527"/>
        <xdr:cNvCxnSpPr/>
      </xdr:nvCxnSpPr>
      <xdr:spPr>
        <a:xfrm>
          <a:off x="5414962" y="17340262"/>
          <a:ext cx="154953" cy="135750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83515</xdr:colOff>
      <xdr:row>91</xdr:row>
      <xdr:rowOff>140512</xdr:rowOff>
    </xdr:from>
    <xdr:to>
      <xdr:col>9</xdr:col>
      <xdr:colOff>242735</xdr:colOff>
      <xdr:row>92</xdr:row>
      <xdr:rowOff>76161</xdr:rowOff>
    </xdr:to>
    <xdr:cxnSp macro="">
      <xdr:nvCxnSpPr>
        <xdr:cNvPr id="529" name="Прямая соединительная линия 528"/>
        <xdr:cNvCxnSpPr/>
      </xdr:nvCxnSpPr>
      <xdr:spPr>
        <a:xfrm>
          <a:off x="5569915" y="17476012"/>
          <a:ext cx="159220" cy="126149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242735</xdr:colOff>
      <xdr:row>92</xdr:row>
      <xdr:rowOff>76161</xdr:rowOff>
    </xdr:from>
    <xdr:to>
      <xdr:col>9</xdr:col>
      <xdr:colOff>407822</xdr:colOff>
      <xdr:row>93</xdr:row>
      <xdr:rowOff>609</xdr:rowOff>
    </xdr:to>
    <xdr:cxnSp macro="">
      <xdr:nvCxnSpPr>
        <xdr:cNvPr id="530" name="Прямая соединительная линия 529"/>
        <xdr:cNvCxnSpPr/>
      </xdr:nvCxnSpPr>
      <xdr:spPr>
        <a:xfrm>
          <a:off x="5729135" y="17602161"/>
          <a:ext cx="165087" cy="114948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407822</xdr:colOff>
      <xdr:row>93</xdr:row>
      <xdr:rowOff>609</xdr:rowOff>
    </xdr:from>
    <xdr:to>
      <xdr:col>9</xdr:col>
      <xdr:colOff>580377</xdr:colOff>
      <xdr:row>93</xdr:row>
      <xdr:rowOff>102754</xdr:rowOff>
    </xdr:to>
    <xdr:cxnSp macro="">
      <xdr:nvCxnSpPr>
        <xdr:cNvPr id="531" name="Прямая соединительная линия 530"/>
        <xdr:cNvCxnSpPr/>
      </xdr:nvCxnSpPr>
      <xdr:spPr>
        <a:xfrm>
          <a:off x="5894222" y="17717109"/>
          <a:ext cx="172555" cy="10214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580377</xdr:colOff>
      <xdr:row>93</xdr:row>
      <xdr:rowOff>102754</xdr:rowOff>
    </xdr:from>
    <xdr:to>
      <xdr:col>10</xdr:col>
      <xdr:colOff>152400</xdr:colOff>
      <xdr:row>94</xdr:row>
      <xdr:rowOff>0</xdr:rowOff>
    </xdr:to>
    <xdr:cxnSp macro="">
      <xdr:nvCxnSpPr>
        <xdr:cNvPr id="532" name="Прямая соединительная линия 531"/>
        <xdr:cNvCxnSpPr/>
      </xdr:nvCxnSpPr>
      <xdr:spPr>
        <a:xfrm>
          <a:off x="6066777" y="17819254"/>
          <a:ext cx="181623" cy="87746"/>
        </a:xfrm>
        <a:prstGeom prst="line">
          <a:avLst/>
        </a:prstGeom>
        <a:ln w="63500">
          <a:solidFill>
            <a:srgbClr val="0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93</xdr:row>
      <xdr:rowOff>8343</xdr:rowOff>
    </xdr:from>
    <xdr:to>
      <xdr:col>10</xdr:col>
      <xdr:colOff>297929</xdr:colOff>
      <xdr:row>94</xdr:row>
      <xdr:rowOff>0</xdr:rowOff>
    </xdr:to>
    <xdr:cxnSp macro="">
      <xdr:nvCxnSpPr>
        <xdr:cNvPr id="533" name="Прямая соединительная линия 532"/>
        <xdr:cNvCxnSpPr/>
      </xdr:nvCxnSpPr>
      <xdr:spPr>
        <a:xfrm flipV="1">
          <a:off x="6248400" y="17724843"/>
          <a:ext cx="145529" cy="182157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297929</xdr:colOff>
      <xdr:row>92</xdr:row>
      <xdr:rowOff>75894</xdr:rowOff>
    </xdr:from>
    <xdr:to>
      <xdr:col>10</xdr:col>
      <xdr:colOff>463194</xdr:colOff>
      <xdr:row>93</xdr:row>
      <xdr:rowOff>8343</xdr:rowOff>
    </xdr:to>
    <xdr:cxnSp macro="">
      <xdr:nvCxnSpPr>
        <xdr:cNvPr id="534" name="Прямая соединительная линия 533"/>
        <xdr:cNvCxnSpPr/>
      </xdr:nvCxnSpPr>
      <xdr:spPr>
        <a:xfrm flipV="1">
          <a:off x="6393929" y="17601894"/>
          <a:ext cx="165265" cy="122949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463194</xdr:colOff>
      <xdr:row>92</xdr:row>
      <xdr:rowOff>7353</xdr:rowOff>
    </xdr:from>
    <xdr:to>
      <xdr:col>11</xdr:col>
      <xdr:colOff>31660</xdr:colOff>
      <xdr:row>92</xdr:row>
      <xdr:rowOff>75894</xdr:rowOff>
    </xdr:to>
    <xdr:cxnSp macro="">
      <xdr:nvCxnSpPr>
        <xdr:cNvPr id="535" name="Прямая соединительная линия 534"/>
        <xdr:cNvCxnSpPr/>
      </xdr:nvCxnSpPr>
      <xdr:spPr>
        <a:xfrm flipV="1">
          <a:off x="6559194" y="17533353"/>
          <a:ext cx="178066" cy="68541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31660</xdr:colOff>
      <xdr:row>91</xdr:row>
      <xdr:rowOff>178917</xdr:rowOff>
    </xdr:from>
    <xdr:to>
      <xdr:col>11</xdr:col>
      <xdr:colOff>215595</xdr:colOff>
      <xdr:row>92</xdr:row>
      <xdr:rowOff>7353</xdr:rowOff>
    </xdr:to>
    <xdr:cxnSp macro="">
      <xdr:nvCxnSpPr>
        <xdr:cNvPr id="536" name="Прямая соединительная линия 535"/>
        <xdr:cNvCxnSpPr/>
      </xdr:nvCxnSpPr>
      <xdr:spPr>
        <a:xfrm flipV="1">
          <a:off x="6737260" y="17514417"/>
          <a:ext cx="183935" cy="18936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215595</xdr:colOff>
      <xdr:row>91</xdr:row>
      <xdr:rowOff>178917</xdr:rowOff>
    </xdr:from>
    <xdr:to>
      <xdr:col>11</xdr:col>
      <xdr:colOff>398462</xdr:colOff>
      <xdr:row>92</xdr:row>
      <xdr:rowOff>14287</xdr:rowOff>
    </xdr:to>
    <xdr:cxnSp macro="">
      <xdr:nvCxnSpPr>
        <xdr:cNvPr id="537" name="Прямая соединительная линия 536"/>
        <xdr:cNvCxnSpPr/>
      </xdr:nvCxnSpPr>
      <xdr:spPr>
        <a:xfrm>
          <a:off x="6921195" y="17514417"/>
          <a:ext cx="182867" cy="25870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398462</xdr:colOff>
      <xdr:row>92</xdr:row>
      <xdr:rowOff>14287</xdr:rowOff>
    </xdr:from>
    <xdr:to>
      <xdr:col>11</xdr:col>
      <xdr:colOff>573328</xdr:colOff>
      <xdr:row>92</xdr:row>
      <xdr:rowOff>80162</xdr:rowOff>
    </xdr:to>
    <xdr:cxnSp macro="">
      <xdr:nvCxnSpPr>
        <xdr:cNvPr id="538" name="Прямая соединительная линия 537"/>
        <xdr:cNvCxnSpPr/>
      </xdr:nvCxnSpPr>
      <xdr:spPr>
        <a:xfrm>
          <a:off x="7104062" y="17540287"/>
          <a:ext cx="174866" cy="65875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573328</xdr:colOff>
      <xdr:row>92</xdr:row>
      <xdr:rowOff>80162</xdr:rowOff>
    </xdr:from>
    <xdr:to>
      <xdr:col>12</xdr:col>
      <xdr:colOff>123659</xdr:colOff>
      <xdr:row>92</xdr:row>
      <xdr:rowOff>181241</xdr:rowOff>
    </xdr:to>
    <xdr:cxnSp macro="">
      <xdr:nvCxnSpPr>
        <xdr:cNvPr id="539" name="Прямая соединительная линия 538"/>
        <xdr:cNvCxnSpPr/>
      </xdr:nvCxnSpPr>
      <xdr:spPr>
        <a:xfrm>
          <a:off x="7278928" y="17606162"/>
          <a:ext cx="159931" cy="101079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123659</xdr:colOff>
      <xdr:row>92</xdr:row>
      <xdr:rowOff>181241</xdr:rowOff>
    </xdr:from>
    <xdr:to>
      <xdr:col>12</xdr:col>
      <xdr:colOff>261721</xdr:colOff>
      <xdr:row>93</xdr:row>
      <xdr:rowOff>122225</xdr:rowOff>
    </xdr:to>
    <xdr:cxnSp macro="">
      <xdr:nvCxnSpPr>
        <xdr:cNvPr id="540" name="Прямая соединительная линия 539"/>
        <xdr:cNvCxnSpPr/>
      </xdr:nvCxnSpPr>
      <xdr:spPr>
        <a:xfrm>
          <a:off x="7438859" y="17707241"/>
          <a:ext cx="138062" cy="131484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261721</xdr:colOff>
      <xdr:row>93</xdr:row>
      <xdr:rowOff>122225</xdr:rowOff>
    </xdr:from>
    <xdr:to>
      <xdr:col>12</xdr:col>
      <xdr:colOff>370979</xdr:colOff>
      <xdr:row>94</xdr:row>
      <xdr:rowOff>88811</xdr:rowOff>
    </xdr:to>
    <xdr:cxnSp macro="">
      <xdr:nvCxnSpPr>
        <xdr:cNvPr id="541" name="Прямая соединительная линия 540"/>
        <xdr:cNvCxnSpPr/>
      </xdr:nvCxnSpPr>
      <xdr:spPr>
        <a:xfrm>
          <a:off x="7576921" y="17838725"/>
          <a:ext cx="109258" cy="157086"/>
        </a:xfrm>
        <a:prstGeom prst="line">
          <a:avLst/>
        </a:prstGeom>
        <a:ln w="63500">
          <a:solidFill>
            <a:srgbClr val="808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370979</xdr:colOff>
      <xdr:row>94</xdr:row>
      <xdr:rowOff>88811</xdr:rowOff>
    </xdr:from>
    <xdr:to>
      <xdr:col>12</xdr:col>
      <xdr:colOff>444500</xdr:colOff>
      <xdr:row>95</xdr:row>
      <xdr:rowOff>76200</xdr:rowOff>
    </xdr:to>
    <xdr:cxnSp macro="">
      <xdr:nvCxnSpPr>
        <xdr:cNvPr id="542" name="Прямая соединительная линия 541"/>
        <xdr:cNvCxnSpPr/>
      </xdr:nvCxnSpPr>
      <xdr:spPr>
        <a:xfrm>
          <a:off x="7686179" y="17995811"/>
          <a:ext cx="73521" cy="177889"/>
        </a:xfrm>
        <a:prstGeom prst="line">
          <a:avLst/>
        </a:prstGeom>
        <a:ln w="63500">
          <a:solidFill>
            <a:srgbClr val="9933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444500</xdr:colOff>
      <xdr:row>93</xdr:row>
      <xdr:rowOff>66662</xdr:rowOff>
    </xdr:from>
    <xdr:to>
      <xdr:col>13</xdr:col>
      <xdr:colOff>294246</xdr:colOff>
      <xdr:row>95</xdr:row>
      <xdr:rowOff>76200</xdr:rowOff>
    </xdr:to>
    <xdr:cxnSp macro="">
      <xdr:nvCxnSpPr>
        <xdr:cNvPr id="543" name="Прямая соединительная линия 542"/>
        <xdr:cNvCxnSpPr/>
      </xdr:nvCxnSpPr>
      <xdr:spPr>
        <a:xfrm flipV="1">
          <a:off x="7759700" y="17783162"/>
          <a:ext cx="459346" cy="39053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294246</xdr:colOff>
      <xdr:row>92</xdr:row>
      <xdr:rowOff>30377</xdr:rowOff>
    </xdr:from>
    <xdr:to>
      <xdr:col>14</xdr:col>
      <xdr:colOff>147726</xdr:colOff>
      <xdr:row>93</xdr:row>
      <xdr:rowOff>66662</xdr:rowOff>
    </xdr:to>
    <xdr:cxnSp macro="">
      <xdr:nvCxnSpPr>
        <xdr:cNvPr id="544" name="Прямая соединительная линия 543"/>
        <xdr:cNvCxnSpPr/>
      </xdr:nvCxnSpPr>
      <xdr:spPr>
        <a:xfrm flipV="1">
          <a:off x="8219046" y="17556377"/>
          <a:ext cx="463080" cy="226785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147726</xdr:colOff>
      <xdr:row>91</xdr:row>
      <xdr:rowOff>134912</xdr:rowOff>
    </xdr:from>
    <xdr:to>
      <xdr:col>14</xdr:col>
      <xdr:colOff>602271</xdr:colOff>
      <xdr:row>92</xdr:row>
      <xdr:rowOff>30377</xdr:rowOff>
    </xdr:to>
    <xdr:cxnSp macro="">
      <xdr:nvCxnSpPr>
        <xdr:cNvPr id="545" name="Прямая соединительная линия 544"/>
        <xdr:cNvCxnSpPr/>
      </xdr:nvCxnSpPr>
      <xdr:spPr>
        <a:xfrm flipV="1">
          <a:off x="8682126" y="17470412"/>
          <a:ext cx="454545" cy="8596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602271</xdr:colOff>
      <xdr:row>91</xdr:row>
      <xdr:rowOff>134912</xdr:rowOff>
    </xdr:from>
    <xdr:to>
      <xdr:col>15</xdr:col>
      <xdr:colOff>426415</xdr:colOff>
      <xdr:row>91</xdr:row>
      <xdr:rowOff>166827</xdr:rowOff>
    </xdr:to>
    <xdr:cxnSp macro="">
      <xdr:nvCxnSpPr>
        <xdr:cNvPr id="546" name="Прямая соединительная линия 545"/>
        <xdr:cNvCxnSpPr/>
      </xdr:nvCxnSpPr>
      <xdr:spPr>
        <a:xfrm>
          <a:off x="9136671" y="17470412"/>
          <a:ext cx="433744" cy="31915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426415</xdr:colOff>
      <xdr:row>91</xdr:row>
      <xdr:rowOff>166827</xdr:rowOff>
    </xdr:from>
    <xdr:to>
      <xdr:col>16</xdr:col>
      <xdr:colOff>217487</xdr:colOff>
      <xdr:row>92</xdr:row>
      <xdr:rowOff>103187</xdr:rowOff>
    </xdr:to>
    <xdr:cxnSp macro="">
      <xdr:nvCxnSpPr>
        <xdr:cNvPr id="547" name="Прямая соединительная линия 546"/>
        <xdr:cNvCxnSpPr/>
      </xdr:nvCxnSpPr>
      <xdr:spPr>
        <a:xfrm>
          <a:off x="9570415" y="17502327"/>
          <a:ext cx="400672" cy="12686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217487</xdr:colOff>
      <xdr:row>92</xdr:row>
      <xdr:rowOff>103187</xdr:rowOff>
    </xdr:from>
    <xdr:to>
      <xdr:col>16</xdr:col>
      <xdr:colOff>572820</xdr:colOff>
      <xdr:row>93</xdr:row>
      <xdr:rowOff>111557</xdr:rowOff>
    </xdr:to>
    <xdr:cxnSp macro="">
      <xdr:nvCxnSpPr>
        <xdr:cNvPr id="548" name="Прямая соединительная линия 547"/>
        <xdr:cNvCxnSpPr/>
      </xdr:nvCxnSpPr>
      <xdr:spPr>
        <a:xfrm>
          <a:off x="9971087" y="17629187"/>
          <a:ext cx="355333" cy="198870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572820</xdr:colOff>
      <xdr:row>93</xdr:row>
      <xdr:rowOff>111557</xdr:rowOff>
    </xdr:from>
    <xdr:to>
      <xdr:col>17</xdr:col>
      <xdr:colOff>260946</xdr:colOff>
      <xdr:row>94</xdr:row>
      <xdr:rowOff>168998</xdr:rowOff>
    </xdr:to>
    <xdr:cxnSp macro="">
      <xdr:nvCxnSpPr>
        <xdr:cNvPr id="549" name="Прямая соединительная линия 548"/>
        <xdr:cNvCxnSpPr/>
      </xdr:nvCxnSpPr>
      <xdr:spPr>
        <a:xfrm>
          <a:off x="10326420" y="17828057"/>
          <a:ext cx="297726" cy="247941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260946</xdr:colOff>
      <xdr:row>94</xdr:row>
      <xdr:rowOff>168998</xdr:rowOff>
    </xdr:from>
    <xdr:to>
      <xdr:col>17</xdr:col>
      <xdr:colOff>488797</xdr:colOff>
      <xdr:row>96</xdr:row>
      <xdr:rowOff>62076</xdr:rowOff>
    </xdr:to>
    <xdr:cxnSp macro="">
      <xdr:nvCxnSpPr>
        <xdr:cNvPr id="550" name="Прямая соединительная линия 549"/>
        <xdr:cNvCxnSpPr/>
      </xdr:nvCxnSpPr>
      <xdr:spPr>
        <a:xfrm>
          <a:off x="10624146" y="18075998"/>
          <a:ext cx="227851" cy="274078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488797</xdr:colOff>
      <xdr:row>96</xdr:row>
      <xdr:rowOff>62076</xdr:rowOff>
    </xdr:from>
    <xdr:to>
      <xdr:col>18</xdr:col>
      <xdr:colOff>24904</xdr:colOff>
      <xdr:row>97</xdr:row>
      <xdr:rowOff>148856</xdr:rowOff>
    </xdr:to>
    <xdr:cxnSp macro="">
      <xdr:nvCxnSpPr>
        <xdr:cNvPr id="551" name="Прямая соединительная линия 550"/>
        <xdr:cNvCxnSpPr/>
      </xdr:nvCxnSpPr>
      <xdr:spPr>
        <a:xfrm>
          <a:off x="10851997" y="18350076"/>
          <a:ext cx="145707" cy="27728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24904</xdr:colOff>
      <xdr:row>97</xdr:row>
      <xdr:rowOff>148856</xdr:rowOff>
    </xdr:from>
    <xdr:to>
      <xdr:col>18</xdr:col>
      <xdr:colOff>76200</xdr:colOff>
      <xdr:row>99</xdr:row>
      <xdr:rowOff>25400</xdr:rowOff>
    </xdr:to>
    <xdr:cxnSp macro="">
      <xdr:nvCxnSpPr>
        <xdr:cNvPr id="552" name="Прямая соединительная линия 551"/>
        <xdr:cNvCxnSpPr/>
      </xdr:nvCxnSpPr>
      <xdr:spPr>
        <a:xfrm>
          <a:off x="10997704" y="18627356"/>
          <a:ext cx="51296" cy="257544"/>
        </a:xfrm>
        <a:prstGeom prst="line">
          <a:avLst/>
        </a:prstGeom>
        <a:ln w="63500">
          <a:solidFill>
            <a:srgbClr val="6600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7"/>
  <dimension ref="A1:T76"/>
  <sheetViews>
    <sheetView workbookViewId="0"/>
  </sheetViews>
  <sheetFormatPr defaultColWidth="0" defaultRowHeight="15" customHeight="1" zeroHeight="1"/>
  <cols>
    <col min="1" max="20" width="9.140625" customWidth="1"/>
    <col min="21" max="16384" width="9.140625" hidden="1"/>
  </cols>
  <sheetData>
    <row r="1" spans="1:10">
      <c r="A1" t="s">
        <v>78</v>
      </c>
      <c r="C1" t="s">
        <v>79</v>
      </c>
    </row>
    <row r="2" spans="1:10"/>
    <row r="3" spans="1:10"/>
    <row r="4" spans="1:10"/>
    <row r="5" spans="1:10"/>
    <row r="6" spans="1:10">
      <c r="G6" s="7" t="s">
        <v>74</v>
      </c>
      <c r="H6" s="7" t="s">
        <v>75</v>
      </c>
      <c r="I6" s="7" t="s">
        <v>76</v>
      </c>
      <c r="J6" s="7" t="s">
        <v>77</v>
      </c>
    </row>
    <row r="7" spans="1:10">
      <c r="F7" s="8" t="s">
        <v>55</v>
      </c>
      <c r="G7">
        <f>C11</f>
        <v>2.1</v>
      </c>
      <c r="H7">
        <f>C13</f>
        <v>5.3</v>
      </c>
      <c r="I7">
        <f>C14</f>
        <v>54</v>
      </c>
      <c r="J7">
        <f>C15</f>
        <v>190</v>
      </c>
    </row>
    <row r="8" spans="1:10">
      <c r="F8" s="8" t="s">
        <v>56</v>
      </c>
      <c r="G8">
        <f>D11</f>
        <v>64</v>
      </c>
      <c r="H8">
        <f>D13</f>
        <v>42</v>
      </c>
      <c r="I8">
        <f>D14</f>
        <v>-41</v>
      </c>
      <c r="J8">
        <f>D15</f>
        <v>97</v>
      </c>
    </row>
    <row r="9" spans="1:10">
      <c r="F9" s="5" t="s">
        <v>55</v>
      </c>
      <c r="G9">
        <f t="shared" ref="G9:G16" si="0">J7</f>
        <v>190</v>
      </c>
      <c r="H9">
        <f>C16</f>
        <v>210</v>
      </c>
      <c r="I9">
        <f>C17</f>
        <v>350</v>
      </c>
      <c r="J9">
        <f>C18</f>
        <v>380</v>
      </c>
    </row>
    <row r="10" spans="1:10">
      <c r="B10" s="5" t="s">
        <v>57</v>
      </c>
      <c r="C10" t="s">
        <v>57</v>
      </c>
      <c r="F10" s="5" t="s">
        <v>56</v>
      </c>
      <c r="G10">
        <f t="shared" si="0"/>
        <v>97</v>
      </c>
      <c r="H10">
        <f>D16</f>
        <v>39</v>
      </c>
      <c r="I10">
        <f>D17</f>
        <v>-5.7</v>
      </c>
      <c r="J10">
        <f>D18</f>
        <v>150</v>
      </c>
    </row>
    <row r="11" spans="1:10">
      <c r="B11" s="5" t="s">
        <v>61</v>
      </c>
      <c r="C11">
        <v>2.1</v>
      </c>
      <c r="D11">
        <v>64</v>
      </c>
      <c r="E11" s="12"/>
      <c r="F11" s="8" t="s">
        <v>55</v>
      </c>
      <c r="G11">
        <f t="shared" si="0"/>
        <v>380</v>
      </c>
      <c r="H11">
        <f>$G11+C20</f>
        <v>440</v>
      </c>
      <c r="I11">
        <f>$G11+C21</f>
        <v>490</v>
      </c>
      <c r="J11">
        <f>$G11+C22</f>
        <v>560</v>
      </c>
    </row>
    <row r="12" spans="1:10">
      <c r="B12" s="5" t="s">
        <v>58</v>
      </c>
      <c r="C12" t="s">
        <v>58</v>
      </c>
      <c r="E12" s="13"/>
      <c r="F12" s="8" t="s">
        <v>56</v>
      </c>
      <c r="G12">
        <f t="shared" si="0"/>
        <v>150</v>
      </c>
      <c r="H12">
        <f>$G12+D20</f>
        <v>210</v>
      </c>
      <c r="I12">
        <f>$G12+D21</f>
        <v>270</v>
      </c>
      <c r="J12">
        <f>$G12+D22</f>
        <v>300</v>
      </c>
    </row>
    <row r="13" spans="1:10">
      <c r="B13" s="5" t="s">
        <v>62</v>
      </c>
      <c r="C13">
        <v>5.3</v>
      </c>
      <c r="D13">
        <v>42</v>
      </c>
      <c r="E13" s="13"/>
      <c r="F13" s="5" t="s">
        <v>55</v>
      </c>
      <c r="G13">
        <f t="shared" si="0"/>
        <v>560</v>
      </c>
      <c r="H13">
        <f>$G13+C23</f>
        <v>610</v>
      </c>
      <c r="I13">
        <f>$G13+C24</f>
        <v>710</v>
      </c>
      <c r="J13">
        <f>$G13+C25</f>
        <v>730</v>
      </c>
    </row>
    <row r="14" spans="1:10">
      <c r="B14" s="5" t="s">
        <v>63</v>
      </c>
      <c r="C14">
        <v>54</v>
      </c>
      <c r="D14">
        <v>-41</v>
      </c>
      <c r="E14" s="13"/>
      <c r="F14" s="5" t="s">
        <v>56</v>
      </c>
      <c r="G14">
        <f t="shared" si="0"/>
        <v>300</v>
      </c>
      <c r="H14">
        <f>$G14+D23</f>
        <v>220</v>
      </c>
      <c r="I14">
        <f>$G14+D24</f>
        <v>260</v>
      </c>
      <c r="J14">
        <f>$G14+D25</f>
        <v>330</v>
      </c>
    </row>
    <row r="15" spans="1:10">
      <c r="B15" s="5" t="s">
        <v>64</v>
      </c>
      <c r="C15">
        <v>190</v>
      </c>
      <c r="D15">
        <v>97</v>
      </c>
      <c r="E15" s="14"/>
      <c r="F15" s="8" t="s">
        <v>55</v>
      </c>
      <c r="G15">
        <f t="shared" si="0"/>
        <v>730</v>
      </c>
      <c r="H15">
        <f>$G15+C26</f>
        <v>900</v>
      </c>
      <c r="I15">
        <f>$G15+C27</f>
        <v>1100</v>
      </c>
      <c r="J15">
        <f>$G15+C28</f>
        <v>1100</v>
      </c>
    </row>
    <row r="16" spans="1:10">
      <c r="B16" s="5" t="s">
        <v>65</v>
      </c>
      <c r="C16">
        <v>210</v>
      </c>
      <c r="D16">
        <v>39</v>
      </c>
      <c r="E16" s="9"/>
      <c r="F16" s="8" t="s">
        <v>56</v>
      </c>
      <c r="G16">
        <f t="shared" si="0"/>
        <v>330</v>
      </c>
      <c r="H16">
        <f>$G16+D26</f>
        <v>150</v>
      </c>
      <c r="I16">
        <f>$G16+D27</f>
        <v>320</v>
      </c>
      <c r="J16">
        <f>$G16+D28</f>
        <v>410</v>
      </c>
    </row>
    <row r="17" spans="2:8">
      <c r="B17" s="5" t="s">
        <v>66</v>
      </c>
      <c r="C17">
        <v>350</v>
      </c>
      <c r="D17">
        <v>-5.7</v>
      </c>
      <c r="E17" s="10"/>
    </row>
    <row r="18" spans="2:8">
      <c r="B18" s="6">
        <v>380150</v>
      </c>
      <c r="C18">
        <v>380</v>
      </c>
      <c r="D18">
        <v>150</v>
      </c>
      <c r="E18" s="11"/>
    </row>
    <row r="19" spans="2:8">
      <c r="B19" s="5" t="s">
        <v>59</v>
      </c>
      <c r="C19" t="s">
        <v>59</v>
      </c>
    </row>
    <row r="20" spans="2:8">
      <c r="B20" s="5" t="s">
        <v>67</v>
      </c>
      <c r="C20">
        <v>60</v>
      </c>
      <c r="D20">
        <v>60</v>
      </c>
      <c r="E20" s="1"/>
      <c r="F20" s="1">
        <v>0</v>
      </c>
      <c r="G20" s="4">
        <f>mLib.Bezier(G$7,H$7,I$7,J$7,$F20)</f>
        <v>2.1</v>
      </c>
      <c r="H20" s="4">
        <f>mLib.Bezier(G$8,H$8,I$8,J$8,$F20)</f>
        <v>64</v>
      </c>
    </row>
    <row r="21" spans="2:8">
      <c r="B21" s="6">
        <v>110120</v>
      </c>
      <c r="C21">
        <v>110</v>
      </c>
      <c r="D21">
        <v>120</v>
      </c>
      <c r="E21" s="1"/>
      <c r="F21" s="1">
        <v>0.1</v>
      </c>
      <c r="G21" s="4">
        <f t="shared" ref="G21:G30" si="1">mLib.Bezier(G$7,H$7,I$7,J$7,$F21)</f>
        <v>4.466800000000001</v>
      </c>
      <c r="H21" s="4">
        <f t="shared" ref="H21:H30" si="2">mLib.Bezier(G$8,H$8,I$8,J$8,$F21)</f>
        <v>55.852000000000004</v>
      </c>
    </row>
    <row r="22" spans="2:8">
      <c r="B22" s="6">
        <v>180150</v>
      </c>
      <c r="C22">
        <v>180</v>
      </c>
      <c r="D22">
        <v>150</v>
      </c>
      <c r="E22" s="1"/>
      <c r="F22" s="1">
        <v>0.2</v>
      </c>
      <c r="G22" s="4">
        <f t="shared" si="1"/>
        <v>9.8144000000000027</v>
      </c>
      <c r="H22" s="4">
        <f t="shared" si="2"/>
        <v>45.736000000000011</v>
      </c>
    </row>
    <row r="23" spans="2:8">
      <c r="B23" s="5" t="s">
        <v>68</v>
      </c>
      <c r="C23">
        <v>50</v>
      </c>
      <c r="D23">
        <v>-80</v>
      </c>
      <c r="F23" s="1">
        <v>0.3</v>
      </c>
      <c r="G23" s="4">
        <f t="shared" si="1"/>
        <v>18.393599999999996</v>
      </c>
      <c r="H23" s="4">
        <f t="shared" si="2"/>
        <v>35.343999999999994</v>
      </c>
    </row>
    <row r="24" spans="2:8">
      <c r="B24" s="5" t="s">
        <v>69</v>
      </c>
      <c r="C24">
        <v>150</v>
      </c>
      <c r="D24">
        <v>-40</v>
      </c>
      <c r="F24" s="1">
        <v>0.4</v>
      </c>
      <c r="G24" s="4">
        <f t="shared" si="1"/>
        <v>30.455200000000001</v>
      </c>
      <c r="H24" s="4">
        <f t="shared" si="2"/>
        <v>26.367999999999999</v>
      </c>
    </row>
    <row r="25" spans="2:8">
      <c r="B25" s="5" t="s">
        <v>70</v>
      </c>
      <c r="C25">
        <v>170</v>
      </c>
      <c r="D25">
        <v>30</v>
      </c>
      <c r="F25" s="1">
        <v>0.5</v>
      </c>
      <c r="G25" s="4">
        <f t="shared" si="1"/>
        <v>46.25</v>
      </c>
      <c r="H25" s="4">
        <f t="shared" si="2"/>
        <v>20.5</v>
      </c>
    </row>
    <row r="26" spans="2:8">
      <c r="B26" s="5" t="s">
        <v>71</v>
      </c>
      <c r="C26">
        <v>170</v>
      </c>
      <c r="D26">
        <v>-180</v>
      </c>
      <c r="E26" s="1"/>
      <c r="F26" s="1">
        <v>0.6</v>
      </c>
      <c r="G26" s="4">
        <f t="shared" si="1"/>
        <v>66.02879999999999</v>
      </c>
      <c r="H26" s="4">
        <f t="shared" si="2"/>
        <v>19.432000000000002</v>
      </c>
    </row>
    <row r="27" spans="2:8">
      <c r="B27" s="5" t="s">
        <v>72</v>
      </c>
      <c r="C27">
        <v>370</v>
      </c>
      <c r="D27">
        <v>-10</v>
      </c>
      <c r="E27" s="1"/>
      <c r="F27" s="1">
        <v>0.7</v>
      </c>
      <c r="G27" s="4">
        <f t="shared" si="1"/>
        <v>90.042399999999986</v>
      </c>
      <c r="H27" s="4">
        <f t="shared" si="2"/>
        <v>24.855999999999995</v>
      </c>
    </row>
    <row r="28" spans="2:8">
      <c r="B28" s="6" t="s">
        <v>73</v>
      </c>
      <c r="C28">
        <v>370</v>
      </c>
      <c r="D28">
        <v>80</v>
      </c>
      <c r="E28" s="1"/>
      <c r="F28" s="1">
        <v>0.8</v>
      </c>
      <c r="G28" s="4">
        <f t="shared" si="1"/>
        <v>118.54160000000002</v>
      </c>
      <c r="H28" s="4">
        <f t="shared" si="2"/>
        <v>38.464000000000006</v>
      </c>
    </row>
    <row r="29" spans="2:8">
      <c r="F29" s="1">
        <v>0.9</v>
      </c>
      <c r="G29" s="4">
        <f t="shared" si="1"/>
        <v>151.77720000000002</v>
      </c>
      <c r="H29" s="4">
        <f t="shared" si="2"/>
        <v>61.948000000000008</v>
      </c>
    </row>
    <row r="30" spans="2:8">
      <c r="F30" s="1">
        <v>1</v>
      </c>
      <c r="G30" s="4">
        <f t="shared" si="1"/>
        <v>190</v>
      </c>
      <c r="H30" s="4">
        <f t="shared" si="2"/>
        <v>97</v>
      </c>
    </row>
    <row r="31" spans="2:8">
      <c r="F31">
        <v>0</v>
      </c>
      <c r="G31" s="4">
        <f>mLib.Bezier(G$9,H$9,I$9,J$9,$F31)</f>
        <v>190</v>
      </c>
      <c r="H31" s="4">
        <f>mLib.Bezier(G$10,H$10,I$10,J$10,$F31)</f>
        <v>97</v>
      </c>
    </row>
    <row r="32" spans="2:8">
      <c r="F32">
        <v>0.1</v>
      </c>
      <c r="G32" s="4">
        <f t="shared" ref="G32:G41" si="3">mLib.Bezier(G$9,H$9,I$9,J$9,$F32)</f>
        <v>199.37000000000003</v>
      </c>
      <c r="H32" s="4">
        <f t="shared" ref="H32:H41" si="4">mLib.Bezier(G$10,H$10,I$10,J$10,$F32)</f>
        <v>80.18610000000001</v>
      </c>
    </row>
    <row r="33" spans="5:8">
      <c r="F33">
        <v>0.2</v>
      </c>
      <c r="G33" s="4">
        <f t="shared" si="3"/>
        <v>214.56000000000006</v>
      </c>
      <c r="H33" s="4">
        <f t="shared" si="4"/>
        <v>65.292800000000014</v>
      </c>
    </row>
    <row r="34" spans="5:8">
      <c r="F34">
        <v>0.3</v>
      </c>
      <c r="G34" s="4">
        <f t="shared" si="3"/>
        <v>234.18999999999997</v>
      </c>
      <c r="H34" s="4">
        <f t="shared" si="4"/>
        <v>53.442699999999988</v>
      </c>
    </row>
    <row r="35" spans="5:8">
      <c r="F35">
        <v>0.4</v>
      </c>
      <c r="G35" s="4">
        <f t="shared" si="3"/>
        <v>256.88</v>
      </c>
      <c r="H35" s="4">
        <f t="shared" si="4"/>
        <v>45.758400000000002</v>
      </c>
    </row>
    <row r="36" spans="5:8">
      <c r="F36">
        <v>0.5</v>
      </c>
      <c r="G36" s="4">
        <f t="shared" si="3"/>
        <v>281.25</v>
      </c>
      <c r="H36" s="4">
        <f t="shared" si="4"/>
        <v>43.362499999999997</v>
      </c>
    </row>
    <row r="37" spans="5:8">
      <c r="F37">
        <v>0.6</v>
      </c>
      <c r="G37" s="4">
        <f t="shared" si="3"/>
        <v>305.92</v>
      </c>
      <c r="H37" s="4">
        <f t="shared" si="4"/>
        <v>47.377600000000001</v>
      </c>
    </row>
    <row r="38" spans="5:8">
      <c r="F38">
        <v>0.7</v>
      </c>
      <c r="G38" s="4">
        <f t="shared" si="3"/>
        <v>329.51</v>
      </c>
      <c r="H38" s="4">
        <f t="shared" si="4"/>
        <v>58.926299999999991</v>
      </c>
    </row>
    <row r="39" spans="5:8">
      <c r="F39">
        <v>0.8</v>
      </c>
      <c r="G39" s="4">
        <f t="shared" si="3"/>
        <v>350.64</v>
      </c>
      <c r="H39" s="4">
        <f t="shared" si="4"/>
        <v>79.131200000000007</v>
      </c>
    </row>
    <row r="40" spans="5:8">
      <c r="F40">
        <v>0.9</v>
      </c>
      <c r="G40" s="4">
        <f t="shared" si="3"/>
        <v>367.93</v>
      </c>
      <c r="H40" s="4">
        <f t="shared" si="4"/>
        <v>109.11490000000001</v>
      </c>
    </row>
    <row r="41" spans="5:8">
      <c r="F41">
        <v>1</v>
      </c>
      <c r="G41" s="4">
        <f t="shared" si="3"/>
        <v>380</v>
      </c>
      <c r="H41" s="4">
        <f t="shared" si="4"/>
        <v>150</v>
      </c>
    </row>
    <row r="42" spans="5:8">
      <c r="E42" s="15">
        <v>3</v>
      </c>
      <c r="F42" s="1">
        <v>0</v>
      </c>
      <c r="G42" s="4">
        <f>mLib.Bezier(G$11,H$11,I$11,J$11,$F42)</f>
        <v>380</v>
      </c>
      <c r="H42" s="4">
        <f>mLib.Bezier(G$12,H$12,I$12,J$12,$F42)</f>
        <v>150</v>
      </c>
    </row>
    <row r="43" spans="5:8">
      <c r="E43" s="16"/>
      <c r="F43" s="1">
        <v>0.1</v>
      </c>
      <c r="G43" s="4">
        <f t="shared" ref="G43:G52" si="5">mLib.Bezier(G$11,H$11,I$11,J$11,$F43)</f>
        <v>397.73000000000008</v>
      </c>
      <c r="H43" s="4">
        <f t="shared" ref="H43:H52" si="6">mLib.Bezier(G$12,H$12,I$12,J$12,$F43)</f>
        <v>167.97000000000003</v>
      </c>
    </row>
    <row r="44" spans="5:8">
      <c r="E44" s="16"/>
      <c r="F44" s="1">
        <v>0.2</v>
      </c>
      <c r="G44" s="4">
        <f t="shared" si="5"/>
        <v>415.04000000000008</v>
      </c>
      <c r="H44" s="4">
        <f t="shared" si="6"/>
        <v>185.76000000000005</v>
      </c>
    </row>
    <row r="45" spans="5:8">
      <c r="E45" s="16"/>
      <c r="F45" s="1">
        <v>0.3</v>
      </c>
      <c r="G45" s="4">
        <f t="shared" si="5"/>
        <v>432.1099999999999</v>
      </c>
      <c r="H45" s="4">
        <f t="shared" si="6"/>
        <v>203.18999999999997</v>
      </c>
    </row>
    <row r="46" spans="5:8">
      <c r="E46" s="16"/>
      <c r="F46" s="1">
        <v>0.4</v>
      </c>
      <c r="G46" s="4">
        <f t="shared" si="5"/>
        <v>449.12</v>
      </c>
      <c r="H46" s="4">
        <f t="shared" si="6"/>
        <v>220.08</v>
      </c>
    </row>
    <row r="47" spans="5:8">
      <c r="E47" s="16"/>
      <c r="F47" s="1">
        <v>0.5</v>
      </c>
      <c r="G47" s="4">
        <f t="shared" si="5"/>
        <v>466.25</v>
      </c>
      <c r="H47" s="4">
        <f t="shared" si="6"/>
        <v>236.25</v>
      </c>
    </row>
    <row r="48" spans="5:8">
      <c r="E48" s="16"/>
      <c r="F48" s="1">
        <v>0.6</v>
      </c>
      <c r="G48" s="4">
        <f t="shared" si="5"/>
        <v>483.68</v>
      </c>
      <c r="H48" s="4">
        <f t="shared" si="6"/>
        <v>251.52</v>
      </c>
    </row>
    <row r="49" spans="5:8">
      <c r="E49" s="16"/>
      <c r="F49" s="1">
        <v>0.7</v>
      </c>
      <c r="G49" s="4">
        <f t="shared" si="5"/>
        <v>501.59</v>
      </c>
      <c r="H49" s="4">
        <f t="shared" si="6"/>
        <v>265.70999999999998</v>
      </c>
    </row>
    <row r="50" spans="5:8">
      <c r="E50" s="16"/>
      <c r="F50" s="1">
        <v>0.8</v>
      </c>
      <c r="G50" s="4">
        <f t="shared" si="5"/>
        <v>520.16</v>
      </c>
      <c r="H50" s="4">
        <f t="shared" si="6"/>
        <v>278.64</v>
      </c>
    </row>
    <row r="51" spans="5:8">
      <c r="E51" s="16"/>
      <c r="F51" s="1">
        <v>0.9</v>
      </c>
      <c r="G51" s="4">
        <f t="shared" si="5"/>
        <v>539.57000000000005</v>
      </c>
      <c r="H51" s="4">
        <f t="shared" si="6"/>
        <v>290.13</v>
      </c>
    </row>
    <row r="52" spans="5:8">
      <c r="E52" s="17"/>
      <c r="F52" s="1">
        <v>1</v>
      </c>
      <c r="G52" s="4">
        <f t="shared" si="5"/>
        <v>560</v>
      </c>
      <c r="H52" s="4">
        <f t="shared" si="6"/>
        <v>300</v>
      </c>
    </row>
    <row r="53" spans="5:8">
      <c r="F53">
        <v>0</v>
      </c>
      <c r="G53" s="4">
        <f>mLib.Bezier(G$13,H$13,I$13,J$13,$F53)</f>
        <v>560</v>
      </c>
      <c r="H53" s="4">
        <f>mLib.Bezier(G$14,H$14,I$14,J$14,$F53)</f>
        <v>300</v>
      </c>
    </row>
    <row r="54" spans="5:8">
      <c r="F54">
        <v>0.1</v>
      </c>
      <c r="G54" s="4">
        <f t="shared" ref="G54:G63" si="7">mLib.Bezier(G$13,H$13,I$13,J$13,$F54)</f>
        <v>576.37000000000012</v>
      </c>
      <c r="H54" s="4">
        <f t="shared" ref="H54:H63" si="8">mLib.Bezier(G$14,H$14,I$14,J$14,$F54)</f>
        <v>279.51000000000005</v>
      </c>
    </row>
    <row r="55" spans="5:8">
      <c r="F55">
        <v>0.2</v>
      </c>
      <c r="G55" s="4">
        <f t="shared" si="7"/>
        <v>594.96000000000015</v>
      </c>
      <c r="H55" s="4">
        <f t="shared" si="8"/>
        <v>265.68000000000006</v>
      </c>
    </row>
    <row r="56" spans="5:8">
      <c r="F56">
        <v>0.3</v>
      </c>
      <c r="G56" s="4">
        <f t="shared" si="7"/>
        <v>614.9899999999999</v>
      </c>
      <c r="H56" s="4">
        <f t="shared" si="8"/>
        <v>257.96999999999997</v>
      </c>
    </row>
    <row r="57" spans="5:8">
      <c r="F57">
        <v>0.4</v>
      </c>
      <c r="G57" s="4">
        <f t="shared" si="7"/>
        <v>635.68000000000006</v>
      </c>
      <c r="H57" s="4">
        <f t="shared" si="8"/>
        <v>255.84</v>
      </c>
    </row>
    <row r="58" spans="5:8">
      <c r="F58">
        <v>0.5</v>
      </c>
      <c r="G58" s="4">
        <f t="shared" si="7"/>
        <v>656.25</v>
      </c>
      <c r="H58" s="4">
        <f t="shared" si="8"/>
        <v>258.75</v>
      </c>
    </row>
    <row r="59" spans="5:8">
      <c r="F59">
        <v>0.6</v>
      </c>
      <c r="G59" s="4">
        <f t="shared" si="7"/>
        <v>675.92</v>
      </c>
      <c r="H59" s="4">
        <f t="shared" si="8"/>
        <v>266.16000000000003</v>
      </c>
    </row>
    <row r="60" spans="5:8">
      <c r="F60">
        <v>0.7</v>
      </c>
      <c r="G60" s="4">
        <f t="shared" si="7"/>
        <v>693.91</v>
      </c>
      <c r="H60" s="4">
        <f t="shared" si="8"/>
        <v>277.52999999999997</v>
      </c>
    </row>
    <row r="61" spans="5:8">
      <c r="F61">
        <v>0.8</v>
      </c>
      <c r="G61" s="4">
        <f t="shared" si="7"/>
        <v>709.44</v>
      </c>
      <c r="H61" s="4">
        <f t="shared" si="8"/>
        <v>292.32</v>
      </c>
    </row>
    <row r="62" spans="5:8">
      <c r="F62">
        <v>0.9</v>
      </c>
      <c r="G62" s="4">
        <f t="shared" si="7"/>
        <v>721.73</v>
      </c>
      <c r="H62" s="4">
        <f t="shared" si="8"/>
        <v>309.99</v>
      </c>
    </row>
    <row r="63" spans="5:8">
      <c r="F63">
        <v>1</v>
      </c>
      <c r="G63" s="4">
        <f t="shared" si="7"/>
        <v>730</v>
      </c>
      <c r="H63" s="4">
        <f t="shared" si="8"/>
        <v>330</v>
      </c>
    </row>
    <row r="64" spans="5:8">
      <c r="E64" s="15">
        <v>5</v>
      </c>
      <c r="F64" s="1">
        <v>0</v>
      </c>
      <c r="G64" s="4">
        <f>mLib.Bezier(G$15,H$15,I$15,J$15,$F64)</f>
        <v>730</v>
      </c>
      <c r="H64" s="4">
        <f>mLib.Bezier(G$16,H$16,I$16,J$16,$F64)</f>
        <v>330</v>
      </c>
    </row>
    <row r="65" spans="5:8">
      <c r="E65" s="16"/>
      <c r="F65" s="1">
        <v>0.1</v>
      </c>
      <c r="G65" s="4">
        <f t="shared" ref="G65:G74" si="9">mLib.Bezier(G$15,H$15,I$15,J$15,$F65)</f>
        <v>781.67000000000007</v>
      </c>
      <c r="H65" s="4">
        <f t="shared" ref="H65:H74" si="10">mLib.Bezier(G$16,H$16,I$16,J$16,$F65)</f>
        <v>286.07000000000005</v>
      </c>
    </row>
    <row r="66" spans="5:8">
      <c r="E66" s="16"/>
      <c r="F66" s="1">
        <v>0.2</v>
      </c>
      <c r="G66" s="4">
        <f t="shared" si="9"/>
        <v>833.76000000000022</v>
      </c>
      <c r="H66" s="4">
        <f t="shared" si="10"/>
        <v>260.56000000000006</v>
      </c>
    </row>
    <row r="67" spans="5:8">
      <c r="E67" s="16"/>
      <c r="F67" s="1">
        <v>0.3</v>
      </c>
      <c r="G67" s="4">
        <f t="shared" si="9"/>
        <v>884.88999999999987</v>
      </c>
      <c r="H67" s="4">
        <f t="shared" si="10"/>
        <v>250.88999999999996</v>
      </c>
    </row>
    <row r="68" spans="5:8">
      <c r="E68" s="16"/>
      <c r="F68" s="1">
        <v>0.4</v>
      </c>
      <c r="G68" s="4">
        <f t="shared" si="9"/>
        <v>933.68000000000006</v>
      </c>
      <c r="H68" s="4">
        <f t="shared" si="10"/>
        <v>254.48</v>
      </c>
    </row>
    <row r="69" spans="5:8">
      <c r="E69" s="16"/>
      <c r="F69" s="1">
        <v>0.5</v>
      </c>
      <c r="G69" s="4">
        <f t="shared" si="9"/>
        <v>978.75</v>
      </c>
      <c r="H69" s="4">
        <f t="shared" si="10"/>
        <v>268.75</v>
      </c>
    </row>
    <row r="70" spans="5:8">
      <c r="E70" s="16"/>
      <c r="F70" s="1">
        <v>0.6</v>
      </c>
      <c r="G70" s="4">
        <f t="shared" si="9"/>
        <v>1018.72</v>
      </c>
      <c r="H70" s="4">
        <f t="shared" si="10"/>
        <v>291.12</v>
      </c>
    </row>
    <row r="71" spans="5:8">
      <c r="E71" s="16"/>
      <c r="F71" s="1">
        <v>0.7</v>
      </c>
      <c r="G71" s="4">
        <f t="shared" si="9"/>
        <v>1052.21</v>
      </c>
      <c r="H71" s="4">
        <f t="shared" si="10"/>
        <v>319.01</v>
      </c>
    </row>
    <row r="72" spans="5:8">
      <c r="E72" s="16"/>
      <c r="F72" s="1">
        <v>0.8</v>
      </c>
      <c r="G72" s="4">
        <f t="shared" si="9"/>
        <v>1077.8399999999999</v>
      </c>
      <c r="H72" s="4">
        <f t="shared" si="10"/>
        <v>349.84000000000003</v>
      </c>
    </row>
    <row r="73" spans="5:8">
      <c r="E73" s="16"/>
      <c r="F73" s="1">
        <v>0.9</v>
      </c>
      <c r="G73" s="4">
        <f t="shared" si="9"/>
        <v>1094.23</v>
      </c>
      <c r="H73" s="4">
        <f t="shared" si="10"/>
        <v>381.03000000000003</v>
      </c>
    </row>
    <row r="74" spans="5:8">
      <c r="E74" s="17"/>
      <c r="F74" s="1">
        <v>1</v>
      </c>
      <c r="G74" s="4">
        <f t="shared" si="9"/>
        <v>1100</v>
      </c>
      <c r="H74" s="4">
        <f t="shared" si="10"/>
        <v>410</v>
      </c>
    </row>
    <row r="75" spans="5:8"/>
    <row r="76" spans="5:8"/>
  </sheetData>
  <mergeCells count="3">
    <mergeCell ref="E11:E15"/>
    <mergeCell ref="E42:E52"/>
    <mergeCell ref="E64:E7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6"/>
  <dimension ref="A1:T101"/>
  <sheetViews>
    <sheetView tabSelected="1" topLeftCell="C1" workbookViewId="0">
      <selection activeCell="C102" sqref="A102:XFD1048576"/>
    </sheetView>
  </sheetViews>
  <sheetFormatPr defaultColWidth="0" defaultRowHeight="15" zeroHeight="1"/>
  <cols>
    <col min="1" max="20" width="9.140625" customWidth="1"/>
    <col min="21" max="16384" width="9.140625" hidden="1"/>
  </cols>
  <sheetData>
    <row r="1" spans="1:10">
      <c r="A1" t="s">
        <v>80</v>
      </c>
      <c r="C1" t="s">
        <v>60</v>
      </c>
    </row>
    <row r="2" spans="1:10"/>
    <row r="3" spans="1:10"/>
    <row r="4" spans="1:10"/>
    <row r="5" spans="1:10"/>
    <row r="6" spans="1:10">
      <c r="G6" s="7" t="s">
        <v>74</v>
      </c>
      <c r="H6" s="7" t="s">
        <v>75</v>
      </c>
      <c r="I6" s="7" t="s">
        <v>76</v>
      </c>
      <c r="J6" s="7" t="s">
        <v>77</v>
      </c>
    </row>
    <row r="7" spans="1:10">
      <c r="F7" s="8" t="s">
        <v>55</v>
      </c>
      <c r="G7">
        <f>C11</f>
        <v>2.1</v>
      </c>
      <c r="H7">
        <f>C13</f>
        <v>5.3</v>
      </c>
      <c r="I7">
        <f>C14</f>
        <v>54</v>
      </c>
      <c r="J7">
        <f>C15</f>
        <v>190</v>
      </c>
    </row>
    <row r="8" spans="1:10">
      <c r="F8" s="8" t="s">
        <v>56</v>
      </c>
      <c r="G8">
        <f>D11</f>
        <v>64</v>
      </c>
      <c r="H8">
        <f>D13</f>
        <v>42</v>
      </c>
      <c r="I8">
        <f>D14</f>
        <v>-41</v>
      </c>
      <c r="J8">
        <f>D15</f>
        <v>97</v>
      </c>
    </row>
    <row r="9" spans="1:10">
      <c r="F9" s="5" t="s">
        <v>55</v>
      </c>
      <c r="G9">
        <f t="shared" ref="G9:G16" si="0">J7</f>
        <v>190</v>
      </c>
      <c r="H9">
        <f>C16</f>
        <v>210</v>
      </c>
      <c r="I9">
        <f>C17</f>
        <v>350</v>
      </c>
      <c r="J9">
        <f>C18</f>
        <v>380</v>
      </c>
    </row>
    <row r="10" spans="1:10">
      <c r="B10" s="5" t="s">
        <v>57</v>
      </c>
      <c r="C10" t="s">
        <v>57</v>
      </c>
      <c r="F10" s="5" t="s">
        <v>56</v>
      </c>
      <c r="G10">
        <f t="shared" si="0"/>
        <v>97</v>
      </c>
      <c r="H10">
        <f>D16</f>
        <v>39</v>
      </c>
      <c r="I10">
        <f>D17</f>
        <v>-5.7</v>
      </c>
      <c r="J10">
        <f>D18</f>
        <v>150</v>
      </c>
    </row>
    <row r="11" spans="1:10">
      <c r="B11" s="5" t="s">
        <v>61</v>
      </c>
      <c r="C11">
        <v>2.1</v>
      </c>
      <c r="D11">
        <v>64</v>
      </c>
      <c r="E11" s="12"/>
      <c r="F11" s="8" t="s">
        <v>55</v>
      </c>
      <c r="G11">
        <f t="shared" si="0"/>
        <v>380</v>
      </c>
      <c r="H11">
        <f>$G11+C20</f>
        <v>440</v>
      </c>
      <c r="I11">
        <f>$G11+C21</f>
        <v>490</v>
      </c>
      <c r="J11">
        <f>$G11+C22</f>
        <v>560</v>
      </c>
    </row>
    <row r="12" spans="1:10">
      <c r="B12" s="5" t="s">
        <v>58</v>
      </c>
      <c r="C12" t="s">
        <v>58</v>
      </c>
      <c r="E12" s="13"/>
      <c r="F12" s="8" t="s">
        <v>56</v>
      </c>
      <c r="G12">
        <f t="shared" si="0"/>
        <v>150</v>
      </c>
      <c r="H12">
        <f>$G12+D20</f>
        <v>210</v>
      </c>
      <c r="I12">
        <f>$G12+D21</f>
        <v>270</v>
      </c>
      <c r="J12">
        <f>$G12+D22</f>
        <v>300</v>
      </c>
    </row>
    <row r="13" spans="1:10">
      <c r="B13" s="5" t="s">
        <v>62</v>
      </c>
      <c r="C13">
        <v>5.3</v>
      </c>
      <c r="D13">
        <v>42</v>
      </c>
      <c r="E13" s="13"/>
      <c r="F13" s="5" t="s">
        <v>55</v>
      </c>
      <c r="G13">
        <f t="shared" si="0"/>
        <v>560</v>
      </c>
      <c r="H13">
        <f>$G13+C23</f>
        <v>610</v>
      </c>
      <c r="I13">
        <f>$G13+C24</f>
        <v>710</v>
      </c>
      <c r="J13">
        <f>$G13+C25</f>
        <v>730</v>
      </c>
    </row>
    <row r="14" spans="1:10">
      <c r="B14" s="5" t="s">
        <v>63</v>
      </c>
      <c r="C14">
        <v>54</v>
      </c>
      <c r="D14">
        <v>-41</v>
      </c>
      <c r="E14" s="13"/>
      <c r="F14" s="5" t="s">
        <v>56</v>
      </c>
      <c r="G14">
        <f t="shared" si="0"/>
        <v>300</v>
      </c>
      <c r="H14">
        <f>$G14+D23</f>
        <v>220</v>
      </c>
      <c r="I14">
        <f>$G14+D24</f>
        <v>260</v>
      </c>
      <c r="J14">
        <f>$G14+D25</f>
        <v>330</v>
      </c>
    </row>
    <row r="15" spans="1:10">
      <c r="B15" s="5" t="s">
        <v>64</v>
      </c>
      <c r="C15">
        <v>190</v>
      </c>
      <c r="D15">
        <v>97</v>
      </c>
      <c r="E15" s="14"/>
      <c r="F15" s="8" t="s">
        <v>55</v>
      </c>
      <c r="G15">
        <f t="shared" si="0"/>
        <v>730</v>
      </c>
      <c r="H15">
        <f>$G15+C26</f>
        <v>900</v>
      </c>
      <c r="I15">
        <f>$G15+C27</f>
        <v>1100</v>
      </c>
      <c r="J15">
        <f>$G15+C28</f>
        <v>1100</v>
      </c>
    </row>
    <row r="16" spans="1:10">
      <c r="B16" s="5" t="s">
        <v>65</v>
      </c>
      <c r="C16">
        <v>210</v>
      </c>
      <c r="D16">
        <v>39</v>
      </c>
      <c r="E16" s="9"/>
      <c r="F16" s="8" t="s">
        <v>56</v>
      </c>
      <c r="G16">
        <f t="shared" si="0"/>
        <v>330</v>
      </c>
      <c r="H16">
        <f>$G16+D26</f>
        <v>150</v>
      </c>
      <c r="I16">
        <f>$G16+D27</f>
        <v>320</v>
      </c>
      <c r="J16">
        <f>$G16+D28</f>
        <v>410</v>
      </c>
    </row>
    <row r="17" spans="2:12">
      <c r="B17" s="5" t="s">
        <v>66</v>
      </c>
      <c r="C17">
        <v>350</v>
      </c>
      <c r="D17">
        <v>-5.7</v>
      </c>
      <c r="E17" s="10"/>
    </row>
    <row r="18" spans="2:12">
      <c r="B18" s="6">
        <v>380150</v>
      </c>
      <c r="C18">
        <v>380</v>
      </c>
      <c r="D18">
        <v>150</v>
      </c>
      <c r="E18" s="11"/>
      <c r="J18">
        <v>25</v>
      </c>
      <c r="K18">
        <v>10</v>
      </c>
    </row>
    <row r="19" spans="2:12">
      <c r="B19" s="5" t="s">
        <v>59</v>
      </c>
      <c r="C19" t="s">
        <v>59</v>
      </c>
      <c r="J19">
        <f>J18/G74</f>
        <v>2.2727272727272728E-2</v>
      </c>
      <c r="K19">
        <f>K18/H74</f>
        <v>2.4390243902439025E-2</v>
      </c>
    </row>
    <row r="20" spans="2:12">
      <c r="B20" s="5" t="s">
        <v>67</v>
      </c>
      <c r="C20">
        <v>60</v>
      </c>
      <c r="D20">
        <v>60</v>
      </c>
      <c r="E20" s="1"/>
      <c r="F20" s="1">
        <v>0</v>
      </c>
      <c r="G20" s="4">
        <f>mLib.Bezier(G$7,H$7,I$7,J$7,$F20)</f>
        <v>2.1</v>
      </c>
      <c r="H20" s="4">
        <f>mLib.Bezier(G$8,H$8,I$8,J$8,$F20)</f>
        <v>64</v>
      </c>
      <c r="J20">
        <f t="shared" ref="J20:J51" si="1">G20*cffX</f>
        <v>4.7727272727272729E-2</v>
      </c>
      <c r="K20">
        <f t="shared" ref="K20:K51" si="2">H20*cffY</f>
        <v>1.5609756097560976</v>
      </c>
      <c r="L20">
        <f t="shared" ref="L20:L51" si="3">hghZ-K20</f>
        <v>8.4390243902439028</v>
      </c>
    </row>
    <row r="21" spans="2:12">
      <c r="B21" s="6">
        <v>110120</v>
      </c>
      <c r="C21">
        <v>110</v>
      </c>
      <c r="D21">
        <v>120</v>
      </c>
      <c r="E21" s="1"/>
      <c r="F21" s="1">
        <v>0.1</v>
      </c>
      <c r="G21" s="4">
        <f t="shared" ref="G21:G30" si="4">mLib.Bezier(G$7,H$7,I$7,J$7,$F21)</f>
        <v>4.466800000000001</v>
      </c>
      <c r="H21" s="4">
        <f t="shared" ref="H21:H30" si="5">mLib.Bezier(G$8,H$8,I$8,J$8,$F21)</f>
        <v>55.852000000000004</v>
      </c>
      <c r="J21">
        <f t="shared" si="1"/>
        <v>0.10151818181818184</v>
      </c>
      <c r="K21">
        <f t="shared" si="2"/>
        <v>1.3622439024390245</v>
      </c>
      <c r="L21">
        <f t="shared" si="3"/>
        <v>8.6377560975609757</v>
      </c>
    </row>
    <row r="22" spans="2:12">
      <c r="B22" s="6">
        <v>180150</v>
      </c>
      <c r="C22">
        <v>180</v>
      </c>
      <c r="D22">
        <v>150</v>
      </c>
      <c r="E22" s="1"/>
      <c r="F22" s="1">
        <v>0.2</v>
      </c>
      <c r="G22" s="4">
        <f t="shared" si="4"/>
        <v>9.8144000000000027</v>
      </c>
      <c r="H22" s="4">
        <f t="shared" si="5"/>
        <v>45.736000000000011</v>
      </c>
      <c r="J22">
        <f t="shared" si="1"/>
        <v>0.22305454545454553</v>
      </c>
      <c r="K22">
        <f t="shared" si="2"/>
        <v>1.1155121951219515</v>
      </c>
      <c r="L22">
        <f t="shared" si="3"/>
        <v>8.8844878048780487</v>
      </c>
    </row>
    <row r="23" spans="2:12">
      <c r="B23" s="5" t="s">
        <v>68</v>
      </c>
      <c r="C23">
        <v>50</v>
      </c>
      <c r="D23">
        <v>-80</v>
      </c>
      <c r="F23" s="1">
        <v>0.3</v>
      </c>
      <c r="G23" s="4">
        <f t="shared" si="4"/>
        <v>18.393599999999996</v>
      </c>
      <c r="H23" s="4">
        <f t="shared" si="5"/>
        <v>35.343999999999994</v>
      </c>
      <c r="J23">
        <f t="shared" si="1"/>
        <v>0.41803636363636354</v>
      </c>
      <c r="K23">
        <f t="shared" si="2"/>
        <v>0.86204878048780476</v>
      </c>
      <c r="L23">
        <f t="shared" si="3"/>
        <v>9.1379512195121961</v>
      </c>
    </row>
    <row r="24" spans="2:12">
      <c r="B24" s="5" t="s">
        <v>69</v>
      </c>
      <c r="C24">
        <v>150</v>
      </c>
      <c r="D24">
        <v>-40</v>
      </c>
      <c r="F24" s="1">
        <v>0.4</v>
      </c>
      <c r="G24" s="4">
        <f t="shared" si="4"/>
        <v>30.455200000000001</v>
      </c>
      <c r="H24" s="4">
        <f t="shared" si="5"/>
        <v>26.367999999999999</v>
      </c>
      <c r="J24">
        <f t="shared" si="1"/>
        <v>0.69216363636363643</v>
      </c>
      <c r="K24">
        <f t="shared" si="2"/>
        <v>0.64312195121951221</v>
      </c>
      <c r="L24">
        <f t="shared" si="3"/>
        <v>9.3568780487804872</v>
      </c>
    </row>
    <row r="25" spans="2:12">
      <c r="B25" s="5" t="s">
        <v>70</v>
      </c>
      <c r="C25">
        <v>170</v>
      </c>
      <c r="D25">
        <v>30</v>
      </c>
      <c r="F25" s="1">
        <v>0.5</v>
      </c>
      <c r="G25" s="4">
        <f t="shared" si="4"/>
        <v>46.25</v>
      </c>
      <c r="H25" s="4">
        <f t="shared" si="5"/>
        <v>20.5</v>
      </c>
      <c r="J25">
        <f t="shared" si="1"/>
        <v>1.0511363636363638</v>
      </c>
      <c r="K25">
        <f t="shared" si="2"/>
        <v>0.5</v>
      </c>
      <c r="L25">
        <f t="shared" si="3"/>
        <v>9.5</v>
      </c>
    </row>
    <row r="26" spans="2:12">
      <c r="B26" s="5" t="s">
        <v>71</v>
      </c>
      <c r="C26">
        <v>170</v>
      </c>
      <c r="D26">
        <v>-180</v>
      </c>
      <c r="E26" s="1"/>
      <c r="F26" s="1">
        <v>0.6</v>
      </c>
      <c r="G26" s="4">
        <f t="shared" si="4"/>
        <v>66.02879999999999</v>
      </c>
      <c r="H26" s="4">
        <f t="shared" si="5"/>
        <v>19.432000000000002</v>
      </c>
      <c r="J26">
        <f t="shared" si="1"/>
        <v>1.5006545454545452</v>
      </c>
      <c r="K26">
        <f t="shared" si="2"/>
        <v>0.47395121951219521</v>
      </c>
      <c r="L26">
        <f t="shared" si="3"/>
        <v>9.5260487804878053</v>
      </c>
    </row>
    <row r="27" spans="2:12">
      <c r="B27" s="5" t="s">
        <v>72</v>
      </c>
      <c r="C27">
        <v>370</v>
      </c>
      <c r="D27">
        <v>-10</v>
      </c>
      <c r="E27" s="1"/>
      <c r="F27" s="1">
        <v>0.7</v>
      </c>
      <c r="G27" s="4">
        <f t="shared" si="4"/>
        <v>90.042399999999986</v>
      </c>
      <c r="H27" s="4">
        <f t="shared" si="5"/>
        <v>24.855999999999995</v>
      </c>
      <c r="J27">
        <f t="shared" si="1"/>
        <v>2.0464181818181815</v>
      </c>
      <c r="K27">
        <f t="shared" si="2"/>
        <v>0.60624390243902426</v>
      </c>
      <c r="L27">
        <f t="shared" si="3"/>
        <v>9.393756097560976</v>
      </c>
    </row>
    <row r="28" spans="2:12">
      <c r="B28" s="6" t="s">
        <v>73</v>
      </c>
      <c r="C28">
        <v>370</v>
      </c>
      <c r="D28">
        <v>80</v>
      </c>
      <c r="E28" s="1"/>
      <c r="F28" s="1">
        <v>0.8</v>
      </c>
      <c r="G28" s="4">
        <f t="shared" si="4"/>
        <v>118.54160000000002</v>
      </c>
      <c r="H28" s="4">
        <f t="shared" si="5"/>
        <v>38.464000000000006</v>
      </c>
      <c r="J28">
        <f t="shared" si="1"/>
        <v>2.6941272727272731</v>
      </c>
      <c r="K28">
        <f t="shared" si="2"/>
        <v>0.9381463414634148</v>
      </c>
      <c r="L28">
        <f t="shared" si="3"/>
        <v>9.0618536585365845</v>
      </c>
    </row>
    <row r="29" spans="2:12">
      <c r="F29" s="1">
        <v>0.9</v>
      </c>
      <c r="G29" s="4">
        <f t="shared" si="4"/>
        <v>151.77720000000002</v>
      </c>
      <c r="H29" s="4">
        <f t="shared" si="5"/>
        <v>61.948000000000008</v>
      </c>
      <c r="J29">
        <f t="shared" si="1"/>
        <v>3.4494818181818188</v>
      </c>
      <c r="K29">
        <f t="shared" si="2"/>
        <v>1.5109268292682929</v>
      </c>
      <c r="L29">
        <f t="shared" si="3"/>
        <v>8.4890731707317073</v>
      </c>
    </row>
    <row r="30" spans="2:12">
      <c r="F30" s="1">
        <v>1</v>
      </c>
      <c r="G30" s="4">
        <f t="shared" si="4"/>
        <v>190</v>
      </c>
      <c r="H30" s="4">
        <f t="shared" si="5"/>
        <v>97</v>
      </c>
      <c r="J30">
        <f t="shared" si="1"/>
        <v>4.3181818181818183</v>
      </c>
      <c r="K30">
        <f t="shared" si="2"/>
        <v>2.3658536585365852</v>
      </c>
      <c r="L30">
        <f t="shared" si="3"/>
        <v>7.6341463414634152</v>
      </c>
    </row>
    <row r="31" spans="2:12">
      <c r="F31">
        <v>0</v>
      </c>
      <c r="G31" s="4">
        <f>mLib.Bezier(G$9,H$9,I$9,J$9,$F31)</f>
        <v>190</v>
      </c>
      <c r="H31" s="4">
        <f>mLib.Bezier(G$10,H$10,I$10,J$10,$F31)</f>
        <v>97</v>
      </c>
      <c r="J31">
        <f t="shared" si="1"/>
        <v>4.3181818181818183</v>
      </c>
      <c r="K31">
        <f t="shared" si="2"/>
        <v>2.3658536585365852</v>
      </c>
      <c r="L31">
        <f t="shared" si="3"/>
        <v>7.6341463414634152</v>
      </c>
    </row>
    <row r="32" spans="2:12">
      <c r="F32">
        <v>0.1</v>
      </c>
      <c r="G32" s="4">
        <f t="shared" ref="G32:G41" si="6">mLib.Bezier(G$9,H$9,I$9,J$9,$F32)</f>
        <v>199.37000000000003</v>
      </c>
      <c r="H32" s="4">
        <f t="shared" ref="H32:H41" si="7">mLib.Bezier(G$10,H$10,I$10,J$10,$F32)</f>
        <v>80.18610000000001</v>
      </c>
      <c r="J32">
        <f t="shared" si="1"/>
        <v>4.5311363636363646</v>
      </c>
      <c r="K32">
        <f t="shared" si="2"/>
        <v>1.9557585365853662</v>
      </c>
      <c r="L32">
        <f t="shared" si="3"/>
        <v>8.0442414634146342</v>
      </c>
    </row>
    <row r="33" spans="5:12">
      <c r="F33">
        <v>0.2</v>
      </c>
      <c r="G33" s="4">
        <f t="shared" si="6"/>
        <v>214.56000000000006</v>
      </c>
      <c r="H33" s="4">
        <f t="shared" si="7"/>
        <v>65.292800000000014</v>
      </c>
      <c r="J33">
        <f t="shared" si="1"/>
        <v>4.8763636363636378</v>
      </c>
      <c r="K33">
        <f t="shared" si="2"/>
        <v>1.5925073170731712</v>
      </c>
      <c r="L33">
        <f t="shared" si="3"/>
        <v>8.4074926829268293</v>
      </c>
    </row>
    <row r="34" spans="5:12">
      <c r="F34">
        <v>0.3</v>
      </c>
      <c r="G34" s="4">
        <f t="shared" si="6"/>
        <v>234.18999999999997</v>
      </c>
      <c r="H34" s="4">
        <f t="shared" si="7"/>
        <v>53.442699999999988</v>
      </c>
      <c r="J34">
        <f t="shared" si="1"/>
        <v>5.3224999999999998</v>
      </c>
      <c r="K34">
        <f t="shared" si="2"/>
        <v>1.3034804878048778</v>
      </c>
      <c r="L34">
        <f t="shared" si="3"/>
        <v>8.6965195121951222</v>
      </c>
    </row>
    <row r="35" spans="5:12">
      <c r="F35">
        <v>0.4</v>
      </c>
      <c r="G35" s="4">
        <f t="shared" si="6"/>
        <v>256.88</v>
      </c>
      <c r="H35" s="4">
        <f t="shared" si="7"/>
        <v>45.758400000000002</v>
      </c>
      <c r="J35">
        <f t="shared" si="1"/>
        <v>5.8381818181818179</v>
      </c>
      <c r="K35">
        <f t="shared" si="2"/>
        <v>1.1160585365853659</v>
      </c>
      <c r="L35">
        <f t="shared" si="3"/>
        <v>8.8839414634146348</v>
      </c>
    </row>
    <row r="36" spans="5:12">
      <c r="F36">
        <v>0.5</v>
      </c>
      <c r="G36" s="4">
        <f t="shared" si="6"/>
        <v>281.25</v>
      </c>
      <c r="H36" s="4">
        <f t="shared" si="7"/>
        <v>43.362499999999997</v>
      </c>
      <c r="J36">
        <f t="shared" si="1"/>
        <v>6.392045454545455</v>
      </c>
      <c r="K36">
        <f t="shared" si="2"/>
        <v>1.0576219512195122</v>
      </c>
      <c r="L36">
        <f t="shared" si="3"/>
        <v>8.9423780487804869</v>
      </c>
    </row>
    <row r="37" spans="5:12">
      <c r="F37">
        <v>0.6</v>
      </c>
      <c r="G37" s="4">
        <f t="shared" si="6"/>
        <v>305.92</v>
      </c>
      <c r="H37" s="4">
        <f t="shared" si="7"/>
        <v>47.377600000000001</v>
      </c>
      <c r="J37">
        <f t="shared" si="1"/>
        <v>6.9527272727272731</v>
      </c>
      <c r="K37">
        <f t="shared" si="2"/>
        <v>1.1555512195121951</v>
      </c>
      <c r="L37">
        <f t="shared" si="3"/>
        <v>8.8444487804878058</v>
      </c>
    </row>
    <row r="38" spans="5:12">
      <c r="F38">
        <v>0.7</v>
      </c>
      <c r="G38" s="4">
        <f t="shared" si="6"/>
        <v>329.51</v>
      </c>
      <c r="H38" s="4">
        <f t="shared" si="7"/>
        <v>58.926299999999991</v>
      </c>
      <c r="J38">
        <f t="shared" si="1"/>
        <v>7.4888636363636367</v>
      </c>
      <c r="K38">
        <f t="shared" si="2"/>
        <v>1.4372268292682926</v>
      </c>
      <c r="L38">
        <f t="shared" si="3"/>
        <v>8.5627731707317079</v>
      </c>
    </row>
    <row r="39" spans="5:12">
      <c r="F39">
        <v>0.8</v>
      </c>
      <c r="G39" s="4">
        <f t="shared" si="6"/>
        <v>350.64</v>
      </c>
      <c r="H39" s="4">
        <f t="shared" si="7"/>
        <v>79.131200000000007</v>
      </c>
      <c r="J39">
        <f t="shared" si="1"/>
        <v>7.9690909090909088</v>
      </c>
      <c r="K39">
        <f t="shared" si="2"/>
        <v>1.9300292682926832</v>
      </c>
      <c r="L39">
        <f t="shared" si="3"/>
        <v>8.0699707317073166</v>
      </c>
    </row>
    <row r="40" spans="5:12">
      <c r="F40">
        <v>0.9</v>
      </c>
      <c r="G40" s="4">
        <f t="shared" si="6"/>
        <v>367.93</v>
      </c>
      <c r="H40" s="4">
        <f t="shared" si="7"/>
        <v>109.11490000000001</v>
      </c>
      <c r="J40">
        <f t="shared" si="1"/>
        <v>8.3620454545454557</v>
      </c>
      <c r="K40">
        <f t="shared" si="2"/>
        <v>2.6613390243902439</v>
      </c>
      <c r="L40">
        <f t="shared" si="3"/>
        <v>7.3386609756097556</v>
      </c>
    </row>
    <row r="41" spans="5:12">
      <c r="F41">
        <v>1</v>
      </c>
      <c r="G41" s="4">
        <f t="shared" si="6"/>
        <v>380</v>
      </c>
      <c r="H41" s="4">
        <f t="shared" si="7"/>
        <v>150</v>
      </c>
      <c r="J41">
        <f t="shared" si="1"/>
        <v>8.6363636363636367</v>
      </c>
      <c r="K41">
        <f t="shared" si="2"/>
        <v>3.6585365853658538</v>
      </c>
      <c r="L41">
        <f t="shared" si="3"/>
        <v>6.3414634146341466</v>
      </c>
    </row>
    <row r="42" spans="5:12">
      <c r="E42" s="15">
        <v>3</v>
      </c>
      <c r="F42" s="1">
        <v>0</v>
      </c>
      <c r="G42" s="4">
        <f>mLib.Bezier(G$11,H$11,I$11,J$11,$F42)</f>
        <v>380</v>
      </c>
      <c r="H42" s="4">
        <f>mLib.Bezier(G$12,H$12,I$12,J$12,$F42)</f>
        <v>150</v>
      </c>
      <c r="J42">
        <f t="shared" si="1"/>
        <v>8.6363636363636367</v>
      </c>
      <c r="K42">
        <f t="shared" si="2"/>
        <v>3.6585365853658538</v>
      </c>
      <c r="L42">
        <f t="shared" si="3"/>
        <v>6.3414634146341466</v>
      </c>
    </row>
    <row r="43" spans="5:12">
      <c r="E43" s="16"/>
      <c r="F43" s="1">
        <v>0.1</v>
      </c>
      <c r="G43" s="4">
        <f t="shared" ref="G43:G52" si="8">mLib.Bezier(G$11,H$11,I$11,J$11,$F43)</f>
        <v>397.73000000000008</v>
      </c>
      <c r="H43" s="4">
        <f t="shared" ref="H43:H52" si="9">mLib.Bezier(G$12,H$12,I$12,J$12,$F43)</f>
        <v>167.97000000000003</v>
      </c>
      <c r="J43">
        <f t="shared" si="1"/>
        <v>9.0393181818181834</v>
      </c>
      <c r="K43">
        <f t="shared" si="2"/>
        <v>4.0968292682926837</v>
      </c>
      <c r="L43">
        <f t="shared" si="3"/>
        <v>5.9031707317073163</v>
      </c>
    </row>
    <row r="44" spans="5:12">
      <c r="E44" s="16"/>
      <c r="F44" s="1">
        <v>0.2</v>
      </c>
      <c r="G44" s="4">
        <f t="shared" si="8"/>
        <v>415.04000000000008</v>
      </c>
      <c r="H44" s="4">
        <f t="shared" si="9"/>
        <v>185.76000000000005</v>
      </c>
      <c r="J44">
        <f t="shared" si="1"/>
        <v>9.4327272727272753</v>
      </c>
      <c r="K44">
        <f t="shared" si="2"/>
        <v>4.5307317073170745</v>
      </c>
      <c r="L44">
        <f t="shared" si="3"/>
        <v>5.4692682926829255</v>
      </c>
    </row>
    <row r="45" spans="5:12">
      <c r="E45" s="16"/>
      <c r="F45" s="1">
        <v>0.3</v>
      </c>
      <c r="G45" s="4">
        <f t="shared" si="8"/>
        <v>432.1099999999999</v>
      </c>
      <c r="H45" s="4">
        <f t="shared" si="9"/>
        <v>203.18999999999997</v>
      </c>
      <c r="J45">
        <f t="shared" si="1"/>
        <v>9.8206818181818161</v>
      </c>
      <c r="K45">
        <f t="shared" si="2"/>
        <v>4.9558536585365847</v>
      </c>
      <c r="L45">
        <f t="shared" si="3"/>
        <v>5.0441463414634153</v>
      </c>
    </row>
    <row r="46" spans="5:12">
      <c r="E46" s="16"/>
      <c r="F46" s="1">
        <v>0.4</v>
      </c>
      <c r="G46" s="4">
        <f t="shared" si="8"/>
        <v>449.12</v>
      </c>
      <c r="H46" s="4">
        <f t="shared" si="9"/>
        <v>220.08</v>
      </c>
      <c r="J46">
        <f t="shared" si="1"/>
        <v>10.207272727272727</v>
      </c>
      <c r="K46">
        <f t="shared" si="2"/>
        <v>5.3678048780487808</v>
      </c>
      <c r="L46">
        <f t="shared" si="3"/>
        <v>4.6321951219512192</v>
      </c>
    </row>
    <row r="47" spans="5:12">
      <c r="E47" s="16"/>
      <c r="F47" s="1">
        <v>0.5</v>
      </c>
      <c r="G47" s="4">
        <f t="shared" si="8"/>
        <v>466.25</v>
      </c>
      <c r="H47" s="4">
        <f t="shared" si="9"/>
        <v>236.25</v>
      </c>
      <c r="J47">
        <f t="shared" si="1"/>
        <v>10.59659090909091</v>
      </c>
      <c r="K47">
        <f t="shared" si="2"/>
        <v>5.76219512195122</v>
      </c>
      <c r="L47">
        <f t="shared" si="3"/>
        <v>4.23780487804878</v>
      </c>
    </row>
    <row r="48" spans="5:12">
      <c r="E48" s="16"/>
      <c r="F48" s="1">
        <v>0.6</v>
      </c>
      <c r="G48" s="4">
        <f t="shared" si="8"/>
        <v>483.68</v>
      </c>
      <c r="H48" s="4">
        <f t="shared" si="9"/>
        <v>251.52</v>
      </c>
      <c r="J48">
        <f t="shared" si="1"/>
        <v>10.992727272727274</v>
      </c>
      <c r="K48">
        <f t="shared" si="2"/>
        <v>6.1346341463414635</v>
      </c>
      <c r="L48">
        <f t="shared" si="3"/>
        <v>3.8653658536585365</v>
      </c>
    </row>
    <row r="49" spans="5:12">
      <c r="E49" s="16"/>
      <c r="F49" s="1">
        <v>0.7</v>
      </c>
      <c r="G49" s="4">
        <f t="shared" si="8"/>
        <v>501.59</v>
      </c>
      <c r="H49" s="4">
        <f t="shared" si="9"/>
        <v>265.70999999999998</v>
      </c>
      <c r="J49">
        <f t="shared" si="1"/>
        <v>11.399772727272728</v>
      </c>
      <c r="K49">
        <f t="shared" si="2"/>
        <v>6.4807317073170729</v>
      </c>
      <c r="L49">
        <f t="shared" si="3"/>
        <v>3.5192682926829271</v>
      </c>
    </row>
    <row r="50" spans="5:12">
      <c r="E50" s="16"/>
      <c r="F50" s="1">
        <v>0.8</v>
      </c>
      <c r="G50" s="4">
        <f t="shared" si="8"/>
        <v>520.16</v>
      </c>
      <c r="H50" s="4">
        <f t="shared" si="9"/>
        <v>278.64</v>
      </c>
      <c r="J50">
        <f t="shared" si="1"/>
        <v>11.821818181818182</v>
      </c>
      <c r="K50">
        <f t="shared" si="2"/>
        <v>6.7960975609756096</v>
      </c>
      <c r="L50">
        <f t="shared" si="3"/>
        <v>3.2039024390243904</v>
      </c>
    </row>
    <row r="51" spans="5:12">
      <c r="E51" s="16"/>
      <c r="F51" s="1">
        <v>0.9</v>
      </c>
      <c r="G51" s="4">
        <f t="shared" si="8"/>
        <v>539.57000000000005</v>
      </c>
      <c r="H51" s="4">
        <f t="shared" si="9"/>
        <v>290.13</v>
      </c>
      <c r="J51">
        <f t="shared" si="1"/>
        <v>12.262954545454546</v>
      </c>
      <c r="K51">
        <f t="shared" si="2"/>
        <v>7.076341463414634</v>
      </c>
      <c r="L51">
        <f t="shared" si="3"/>
        <v>2.923658536585366</v>
      </c>
    </row>
    <row r="52" spans="5:12">
      <c r="E52" s="17"/>
      <c r="F52" s="1">
        <v>1</v>
      </c>
      <c r="G52" s="4">
        <f t="shared" si="8"/>
        <v>560</v>
      </c>
      <c r="H52" s="4">
        <f t="shared" si="9"/>
        <v>300</v>
      </c>
      <c r="J52">
        <f t="shared" ref="J52:J74" si="10">G52*cffX</f>
        <v>12.727272727272728</v>
      </c>
      <c r="K52">
        <f t="shared" ref="K52:K74" si="11">H52*cffY</f>
        <v>7.3170731707317076</v>
      </c>
      <c r="L52">
        <f t="shared" ref="L52:L74" si="12">hghZ-K52</f>
        <v>2.6829268292682924</v>
      </c>
    </row>
    <row r="53" spans="5:12">
      <c r="F53">
        <v>0</v>
      </c>
      <c r="G53" s="4">
        <f>mLib.Bezier(G$13,H$13,I$13,J$13,$F53)</f>
        <v>560</v>
      </c>
      <c r="H53" s="4">
        <f>mLib.Bezier(G$14,H$14,I$14,J$14,$F53)</f>
        <v>300</v>
      </c>
      <c r="J53">
        <f t="shared" si="10"/>
        <v>12.727272727272728</v>
      </c>
      <c r="K53">
        <f t="shared" si="11"/>
        <v>7.3170731707317076</v>
      </c>
      <c r="L53">
        <f t="shared" si="12"/>
        <v>2.6829268292682924</v>
      </c>
    </row>
    <row r="54" spans="5:12">
      <c r="F54">
        <v>0.1</v>
      </c>
      <c r="G54" s="4">
        <f t="shared" ref="G54:G63" si="13">mLib.Bezier(G$13,H$13,I$13,J$13,$F54)</f>
        <v>576.37000000000012</v>
      </c>
      <c r="H54" s="4">
        <f t="shared" ref="H54:H63" si="14">mLib.Bezier(G$14,H$14,I$14,J$14,$F54)</f>
        <v>279.51000000000005</v>
      </c>
      <c r="J54">
        <f t="shared" si="10"/>
        <v>13.099318181818186</v>
      </c>
      <c r="K54">
        <f t="shared" si="11"/>
        <v>6.8173170731707335</v>
      </c>
      <c r="L54">
        <f t="shared" si="12"/>
        <v>3.1826829268292665</v>
      </c>
    </row>
    <row r="55" spans="5:12">
      <c r="F55">
        <v>0.2</v>
      </c>
      <c r="G55" s="4">
        <f t="shared" si="13"/>
        <v>594.96000000000015</v>
      </c>
      <c r="H55" s="4">
        <f t="shared" si="14"/>
        <v>265.68000000000006</v>
      </c>
      <c r="J55">
        <f t="shared" si="10"/>
        <v>13.521818181818185</v>
      </c>
      <c r="K55">
        <f t="shared" si="11"/>
        <v>6.4800000000000022</v>
      </c>
      <c r="L55">
        <f t="shared" si="12"/>
        <v>3.5199999999999978</v>
      </c>
    </row>
    <row r="56" spans="5:12">
      <c r="F56">
        <v>0.3</v>
      </c>
      <c r="G56" s="4">
        <f t="shared" si="13"/>
        <v>614.9899999999999</v>
      </c>
      <c r="H56" s="4">
        <f t="shared" si="14"/>
        <v>257.96999999999997</v>
      </c>
      <c r="J56">
        <f t="shared" si="10"/>
        <v>13.977045454545452</v>
      </c>
      <c r="K56">
        <f t="shared" si="11"/>
        <v>6.2919512195121943</v>
      </c>
      <c r="L56">
        <f t="shared" si="12"/>
        <v>3.7080487804878057</v>
      </c>
    </row>
    <row r="57" spans="5:12">
      <c r="F57">
        <v>0.4</v>
      </c>
      <c r="G57" s="4">
        <f t="shared" si="13"/>
        <v>635.68000000000006</v>
      </c>
      <c r="H57" s="4">
        <f t="shared" si="14"/>
        <v>255.84</v>
      </c>
      <c r="J57">
        <f t="shared" si="10"/>
        <v>14.447272727272729</v>
      </c>
      <c r="K57">
        <f t="shared" si="11"/>
        <v>6.24</v>
      </c>
      <c r="L57">
        <f t="shared" si="12"/>
        <v>3.76</v>
      </c>
    </row>
    <row r="58" spans="5:12">
      <c r="F58">
        <v>0.5</v>
      </c>
      <c r="G58" s="4">
        <f t="shared" si="13"/>
        <v>656.25</v>
      </c>
      <c r="H58" s="4">
        <f t="shared" si="14"/>
        <v>258.75</v>
      </c>
      <c r="J58">
        <f t="shared" si="10"/>
        <v>14.914772727272728</v>
      </c>
      <c r="K58">
        <f t="shared" si="11"/>
        <v>6.3109756097560981</v>
      </c>
      <c r="L58">
        <f t="shared" si="12"/>
        <v>3.6890243902439019</v>
      </c>
    </row>
    <row r="59" spans="5:12">
      <c r="F59">
        <v>0.6</v>
      </c>
      <c r="G59" s="4">
        <f t="shared" si="13"/>
        <v>675.92</v>
      </c>
      <c r="H59" s="4">
        <f t="shared" si="14"/>
        <v>266.16000000000003</v>
      </c>
      <c r="J59">
        <f t="shared" si="10"/>
        <v>15.361818181818181</v>
      </c>
      <c r="K59">
        <f t="shared" si="11"/>
        <v>6.4917073170731712</v>
      </c>
      <c r="L59">
        <f t="shared" si="12"/>
        <v>3.5082926829268288</v>
      </c>
    </row>
    <row r="60" spans="5:12">
      <c r="F60">
        <v>0.7</v>
      </c>
      <c r="G60" s="4">
        <f t="shared" si="13"/>
        <v>693.91</v>
      </c>
      <c r="H60" s="4">
        <f t="shared" si="14"/>
        <v>277.52999999999997</v>
      </c>
      <c r="J60">
        <f t="shared" si="10"/>
        <v>15.770681818181817</v>
      </c>
      <c r="K60">
        <f t="shared" si="11"/>
        <v>6.769024390243902</v>
      </c>
      <c r="L60">
        <f t="shared" si="12"/>
        <v>3.230975609756098</v>
      </c>
    </row>
    <row r="61" spans="5:12">
      <c r="F61">
        <v>0.8</v>
      </c>
      <c r="G61" s="4">
        <f t="shared" si="13"/>
        <v>709.44</v>
      </c>
      <c r="H61" s="4">
        <f t="shared" si="14"/>
        <v>292.32</v>
      </c>
      <c r="J61">
        <f t="shared" si="10"/>
        <v>16.123636363636365</v>
      </c>
      <c r="K61">
        <f t="shared" si="11"/>
        <v>7.1297560975609757</v>
      </c>
      <c r="L61">
        <f t="shared" si="12"/>
        <v>2.8702439024390243</v>
      </c>
    </row>
    <row r="62" spans="5:12">
      <c r="F62">
        <v>0.9</v>
      </c>
      <c r="G62" s="4">
        <f t="shared" si="13"/>
        <v>721.73</v>
      </c>
      <c r="H62" s="4">
        <f t="shared" si="14"/>
        <v>309.99</v>
      </c>
      <c r="J62">
        <f t="shared" si="10"/>
        <v>16.402954545454545</v>
      </c>
      <c r="K62">
        <f t="shared" si="11"/>
        <v>7.5607317073170739</v>
      </c>
      <c r="L62">
        <f t="shared" si="12"/>
        <v>2.4392682926829261</v>
      </c>
    </row>
    <row r="63" spans="5:12">
      <c r="F63">
        <v>1</v>
      </c>
      <c r="G63" s="4">
        <f t="shared" si="13"/>
        <v>730</v>
      </c>
      <c r="H63" s="4">
        <f t="shared" si="14"/>
        <v>330</v>
      </c>
      <c r="J63">
        <f t="shared" si="10"/>
        <v>16.59090909090909</v>
      </c>
      <c r="K63">
        <f t="shared" si="11"/>
        <v>8.0487804878048781</v>
      </c>
      <c r="L63">
        <f t="shared" si="12"/>
        <v>1.9512195121951219</v>
      </c>
    </row>
    <row r="64" spans="5:12">
      <c r="E64" s="15">
        <v>5</v>
      </c>
      <c r="F64" s="1">
        <v>0</v>
      </c>
      <c r="G64" s="4">
        <f>mLib.Bezier(G$15,H$15,I$15,J$15,$F64)</f>
        <v>730</v>
      </c>
      <c r="H64" s="4">
        <f>mLib.Bezier(G$16,H$16,I$16,J$16,$F64)</f>
        <v>330</v>
      </c>
      <c r="J64">
        <f t="shared" si="10"/>
        <v>16.59090909090909</v>
      </c>
      <c r="K64">
        <f t="shared" si="11"/>
        <v>8.0487804878048781</v>
      </c>
      <c r="L64">
        <f t="shared" si="12"/>
        <v>1.9512195121951219</v>
      </c>
    </row>
    <row r="65" spans="5:12">
      <c r="E65" s="16"/>
      <c r="F65" s="1">
        <v>0.1</v>
      </c>
      <c r="G65" s="4">
        <f t="shared" ref="G65:G74" si="15">mLib.Bezier(G$15,H$15,I$15,J$15,$F65)</f>
        <v>781.67000000000007</v>
      </c>
      <c r="H65" s="4">
        <f t="shared" ref="H65:H74" si="16">mLib.Bezier(G$16,H$16,I$16,J$16,$F65)</f>
        <v>286.07000000000005</v>
      </c>
      <c r="J65">
        <f t="shared" si="10"/>
        <v>17.765227272727277</v>
      </c>
      <c r="K65">
        <f t="shared" si="11"/>
        <v>6.9773170731707328</v>
      </c>
      <c r="L65">
        <f t="shared" si="12"/>
        <v>3.0226829268292672</v>
      </c>
    </row>
    <row r="66" spans="5:12">
      <c r="E66" s="16"/>
      <c r="F66" s="1">
        <v>0.2</v>
      </c>
      <c r="G66" s="4">
        <f t="shared" si="15"/>
        <v>833.76000000000022</v>
      </c>
      <c r="H66" s="4">
        <f t="shared" si="16"/>
        <v>260.56000000000006</v>
      </c>
      <c r="J66">
        <f t="shared" si="10"/>
        <v>18.949090909090916</v>
      </c>
      <c r="K66">
        <f t="shared" si="11"/>
        <v>6.3551219512195143</v>
      </c>
      <c r="L66">
        <f t="shared" si="12"/>
        <v>3.6448780487804857</v>
      </c>
    </row>
    <row r="67" spans="5:12">
      <c r="E67" s="16"/>
      <c r="F67" s="1">
        <v>0.3</v>
      </c>
      <c r="G67" s="4">
        <f t="shared" si="15"/>
        <v>884.88999999999987</v>
      </c>
      <c r="H67" s="4">
        <f t="shared" si="16"/>
        <v>250.88999999999996</v>
      </c>
      <c r="J67">
        <f t="shared" si="10"/>
        <v>20.111136363636362</v>
      </c>
      <c r="K67">
        <f t="shared" si="11"/>
        <v>6.1192682926829258</v>
      </c>
      <c r="L67">
        <f t="shared" si="12"/>
        <v>3.8807317073170742</v>
      </c>
    </row>
    <row r="68" spans="5:12">
      <c r="E68" s="16"/>
      <c r="F68" s="1">
        <v>0.4</v>
      </c>
      <c r="G68" s="4">
        <f t="shared" si="15"/>
        <v>933.68000000000006</v>
      </c>
      <c r="H68" s="4">
        <f t="shared" si="16"/>
        <v>254.48</v>
      </c>
      <c r="J68">
        <f t="shared" si="10"/>
        <v>21.220000000000002</v>
      </c>
      <c r="K68">
        <f t="shared" si="11"/>
        <v>6.2068292682926831</v>
      </c>
      <c r="L68">
        <f t="shared" si="12"/>
        <v>3.7931707317073169</v>
      </c>
    </row>
    <row r="69" spans="5:12">
      <c r="E69" s="16"/>
      <c r="F69" s="1">
        <v>0.5</v>
      </c>
      <c r="G69" s="4">
        <f t="shared" si="15"/>
        <v>978.75</v>
      </c>
      <c r="H69" s="4">
        <f t="shared" si="16"/>
        <v>268.75</v>
      </c>
      <c r="J69">
        <f t="shared" si="10"/>
        <v>22.244318181818183</v>
      </c>
      <c r="K69">
        <f t="shared" si="11"/>
        <v>6.5548780487804876</v>
      </c>
      <c r="L69">
        <f t="shared" si="12"/>
        <v>3.4451219512195124</v>
      </c>
    </row>
    <row r="70" spans="5:12">
      <c r="E70" s="16"/>
      <c r="F70" s="1">
        <v>0.6</v>
      </c>
      <c r="G70" s="4">
        <f t="shared" si="15"/>
        <v>1018.72</v>
      </c>
      <c r="H70" s="4">
        <f t="shared" si="16"/>
        <v>291.12</v>
      </c>
      <c r="J70">
        <f t="shared" si="10"/>
        <v>23.152727272727272</v>
      </c>
      <c r="K70">
        <f t="shared" si="11"/>
        <v>7.1004878048780489</v>
      </c>
      <c r="L70">
        <f t="shared" si="12"/>
        <v>2.8995121951219511</v>
      </c>
    </row>
    <row r="71" spans="5:12">
      <c r="E71" s="16"/>
      <c r="F71" s="1">
        <v>0.7</v>
      </c>
      <c r="G71" s="4">
        <f t="shared" si="15"/>
        <v>1052.21</v>
      </c>
      <c r="H71" s="4">
        <f t="shared" si="16"/>
        <v>319.01</v>
      </c>
      <c r="J71">
        <f t="shared" si="10"/>
        <v>23.913863636363637</v>
      </c>
      <c r="K71">
        <f t="shared" si="11"/>
        <v>7.7807317073170736</v>
      </c>
      <c r="L71">
        <f t="shared" si="12"/>
        <v>2.2192682926829264</v>
      </c>
    </row>
    <row r="72" spans="5:12">
      <c r="E72" s="16"/>
      <c r="F72" s="1">
        <v>0.8</v>
      </c>
      <c r="G72" s="4">
        <f t="shared" si="15"/>
        <v>1077.8399999999999</v>
      </c>
      <c r="H72" s="4">
        <f t="shared" si="16"/>
        <v>349.84000000000003</v>
      </c>
      <c r="J72">
        <f t="shared" si="10"/>
        <v>24.496363636363636</v>
      </c>
      <c r="K72">
        <f t="shared" si="11"/>
        <v>8.5326829268292688</v>
      </c>
      <c r="L72">
        <f t="shared" si="12"/>
        <v>1.4673170731707312</v>
      </c>
    </row>
    <row r="73" spans="5:12">
      <c r="E73" s="16"/>
      <c r="F73" s="1">
        <v>0.9</v>
      </c>
      <c r="G73" s="4">
        <f t="shared" si="15"/>
        <v>1094.23</v>
      </c>
      <c r="H73" s="4">
        <f t="shared" si="16"/>
        <v>381.03000000000003</v>
      </c>
      <c r="J73">
        <f t="shared" si="10"/>
        <v>24.868863636363638</v>
      </c>
      <c r="K73">
        <f t="shared" si="11"/>
        <v>9.2934146341463428</v>
      </c>
      <c r="L73">
        <f t="shared" si="12"/>
        <v>0.70658536585365717</v>
      </c>
    </row>
    <row r="74" spans="5:12">
      <c r="E74" s="17"/>
      <c r="F74" s="1">
        <v>1</v>
      </c>
      <c r="G74" s="4">
        <f t="shared" si="15"/>
        <v>1100</v>
      </c>
      <c r="H74" s="4">
        <f t="shared" si="16"/>
        <v>410</v>
      </c>
      <c r="J74">
        <f t="shared" si="10"/>
        <v>25</v>
      </c>
      <c r="K74">
        <f t="shared" si="11"/>
        <v>10</v>
      </c>
      <c r="L74">
        <f t="shared" si="12"/>
        <v>0</v>
      </c>
    </row>
    <row r="75" spans="5:12"/>
    <row r="76" spans="5:12"/>
    <row r="77" spans="5:12"/>
    <row r="78" spans="5:12"/>
    <row r="79" spans="5:12"/>
    <row r="80" spans="5:12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</sheetData>
  <mergeCells count="3">
    <mergeCell ref="E42:E52"/>
    <mergeCell ref="E11:E15"/>
    <mergeCell ref="E64:E7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K68"/>
  <sheetViews>
    <sheetView workbookViewId="0"/>
  </sheetViews>
  <sheetFormatPr defaultColWidth="0" defaultRowHeight="15" zeroHeight="1"/>
  <cols>
    <col min="1" max="11" width="9.140625" customWidth="1"/>
    <col min="12" max="16384" width="9.140625" hidden="1"/>
  </cols>
  <sheetData>
    <row r="1" spans="1:2">
      <c r="A1" t="str">
        <f>CONCATENATE(B4&amp;CHAR(10),tSVG,tDEFS,tMETA,A54)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</v>
      </c>
    </row>
    <row r="2" spans="1:2">
      <c r="A2" t="str">
        <f>A65</f>
        <v xml:space="preserve">  &lt;/g&gt;&lt;/svg&gt;</v>
      </c>
    </row>
    <row r="3" spans="1:2">
      <c r="A3" t="s">
        <v>53</v>
      </c>
    </row>
    <row r="4" spans="1:2">
      <c r="B4" s="1" t="s">
        <v>0</v>
      </c>
    </row>
    <row r="5" spans="1:2">
      <c r="B5" s="1" t="s">
        <v>1</v>
      </c>
    </row>
    <row r="6" spans="1:2">
      <c r="B6" s="1"/>
    </row>
    <row r="7" spans="1:2">
      <c r="A7" s="3" t="str">
        <f>CONCATENATE(B7,B8,B9,B10,B11,B12,B13,B14,B15,B16,B17,B18,B19,B20,B21)</f>
        <v>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</v>
      </c>
      <c r="B7" s="1" t="s">
        <v>2</v>
      </c>
    </row>
    <row r="8" spans="1:2">
      <c r="B8" s="1" t="s">
        <v>3</v>
      </c>
    </row>
    <row r="9" spans="1:2">
      <c r="B9" s="1" t="s">
        <v>4</v>
      </c>
    </row>
    <row r="10" spans="1:2">
      <c r="B10" s="1" t="s">
        <v>5</v>
      </c>
    </row>
    <row r="11" spans="1:2">
      <c r="B11" s="1" t="s">
        <v>6</v>
      </c>
    </row>
    <row r="12" spans="1:2">
      <c r="B12" s="1" t="s">
        <v>7</v>
      </c>
    </row>
    <row r="13" spans="1:2">
      <c r="B13" s="1" t="s">
        <v>8</v>
      </c>
    </row>
    <row r="14" spans="1:2">
      <c r="B14" s="1" t="s">
        <v>9</v>
      </c>
    </row>
    <row r="15" spans="1:2">
      <c r="B15" s="1" t="s">
        <v>10</v>
      </c>
    </row>
    <row r="16" spans="1:2">
      <c r="B16" s="1" t="s">
        <v>11</v>
      </c>
    </row>
    <row r="17" spans="1:2">
      <c r="B17" s="1" t="s">
        <v>12</v>
      </c>
    </row>
    <row r="18" spans="1:2">
      <c r="B18" s="1" t="s">
        <v>13</v>
      </c>
    </row>
    <row r="19" spans="1:2">
      <c r="B19" s="1" t="s">
        <v>14</v>
      </c>
    </row>
    <row r="20" spans="1:2">
      <c r="B20" s="1" t="s">
        <v>15</v>
      </c>
    </row>
    <row r="21" spans="1:2">
      <c r="B21" s="1" t="str">
        <f>CONCATENATE("   sodipodi:docname=""",A3,".svg""","&gt;")</f>
        <v xml:space="preserve">   sodipodi:docname="espelho11.svg"&gt;</v>
      </c>
    </row>
    <row r="22" spans="1:2">
      <c r="A22" s="3" t="str">
        <f>CONCATENATE(B22,B23,B24,B25,B26,B27,B28,B29,B30,B31,B32,B33,B34,B35,B36,B37,B38,B39,B40,B41)</f>
        <v xml:space="preserve">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</v>
      </c>
      <c r="B22" s="1" t="s">
        <v>16</v>
      </c>
    </row>
    <row r="23" spans="1:2">
      <c r="B23" s="1" t="s">
        <v>17</v>
      </c>
    </row>
    <row r="24" spans="1:2">
      <c r="B24" s="1" t="s">
        <v>18</v>
      </c>
    </row>
    <row r="25" spans="1:2">
      <c r="B25" s="1" t="s">
        <v>19</v>
      </c>
    </row>
    <row r="26" spans="1:2">
      <c r="B26" s="1" t="s">
        <v>20</v>
      </c>
    </row>
    <row r="27" spans="1:2">
      <c r="B27" s="1" t="s">
        <v>21</v>
      </c>
    </row>
    <row r="28" spans="1:2">
      <c r="B28" s="1" t="s">
        <v>22</v>
      </c>
    </row>
    <row r="29" spans="1:2">
      <c r="B29" s="1" t="s">
        <v>23</v>
      </c>
    </row>
    <row r="30" spans="1:2">
      <c r="B30" s="1" t="s">
        <v>24</v>
      </c>
    </row>
    <row r="31" spans="1:2">
      <c r="B31" s="1" t="s">
        <v>25</v>
      </c>
    </row>
    <row r="32" spans="1:2">
      <c r="B32" s="1" t="s">
        <v>26</v>
      </c>
    </row>
    <row r="33" spans="1:2">
      <c r="B33" s="1" t="s">
        <v>27</v>
      </c>
    </row>
    <row r="34" spans="1:2">
      <c r="B34" s="1" t="s">
        <v>28</v>
      </c>
    </row>
    <row r="35" spans="1:2">
      <c r="B35" s="1" t="s">
        <v>29</v>
      </c>
    </row>
    <row r="36" spans="1:2">
      <c r="B36" s="1" t="s">
        <v>30</v>
      </c>
    </row>
    <row r="37" spans="1:2">
      <c r="B37" s="1" t="s">
        <v>31</v>
      </c>
    </row>
    <row r="38" spans="1:2">
      <c r="B38" s="1" t="s">
        <v>32</v>
      </c>
    </row>
    <row r="39" spans="1:2">
      <c r="B39" s="1" t="s">
        <v>33</v>
      </c>
    </row>
    <row r="40" spans="1:2">
      <c r="B40" s="1" t="s">
        <v>34</v>
      </c>
    </row>
    <row r="41" spans="1:2">
      <c r="B41" s="1" t="s">
        <v>35</v>
      </c>
    </row>
    <row r="42" spans="1:2">
      <c r="A42" s="3" t="str">
        <f>CONCATENATE(B42,B43,B44,B45,B46,B47,B48,B49,B50,B51,B52,B53)</f>
        <v xml:space="preserve">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</v>
      </c>
      <c r="B42" s="1" t="s">
        <v>36</v>
      </c>
    </row>
    <row r="43" spans="1:2">
      <c r="B43" s="1" t="s">
        <v>37</v>
      </c>
    </row>
    <row r="44" spans="1:2">
      <c r="B44" s="1" t="s">
        <v>38</v>
      </c>
    </row>
    <row r="45" spans="1:2">
      <c r="B45" s="1" t="s">
        <v>39</v>
      </c>
    </row>
    <row r="46" spans="1:2">
      <c r="B46" s="1" t="s">
        <v>40</v>
      </c>
    </row>
    <row r="47" spans="1:2">
      <c r="B47" s="1" t="s">
        <v>41</v>
      </c>
    </row>
    <row r="48" spans="1:2">
      <c r="B48" s="1" t="s">
        <v>42</v>
      </c>
    </row>
    <row r="49" spans="1:2">
      <c r="B49" s="1" t="s">
        <v>43</v>
      </c>
    </row>
    <row r="50" spans="1:2">
      <c r="B50" s="1" t="s">
        <v>44</v>
      </c>
    </row>
    <row r="51" spans="1:2">
      <c r="B51" s="1" t="s">
        <v>45</v>
      </c>
    </row>
    <row r="52" spans="1:2">
      <c r="B52" s="1" t="s">
        <v>46</v>
      </c>
    </row>
    <row r="53" spans="1:2">
      <c r="B53" s="1" t="s">
        <v>47</v>
      </c>
    </row>
    <row r="54" spans="1:2">
      <c r="A54" s="3" t="str">
        <f>CONCATENATE(B54,B55,B56,B57)</f>
        <v xml:space="preserve">  &lt;g     inkscape:label="Layer 1"     inkscape:groupmode="layer"     id="layer1"&gt;</v>
      </c>
      <c r="B54" s="1" t="s">
        <v>48</v>
      </c>
    </row>
    <row r="55" spans="1:2">
      <c r="B55" s="1" t="s">
        <v>49</v>
      </c>
    </row>
    <row r="56" spans="1:2">
      <c r="B56" s="1" t="s">
        <v>50</v>
      </c>
    </row>
    <row r="57" spans="1:2">
      <c r="B57" t="s">
        <v>54</v>
      </c>
    </row>
    <row r="58" spans="1:2"/>
    <row r="59" spans="1:2"/>
    <row r="60" spans="1:2"/>
    <row r="61" spans="1:2"/>
    <row r="62" spans="1:2"/>
    <row r="63" spans="1:2"/>
    <row r="64" spans="1:2"/>
    <row r="65" spans="1:2">
      <c r="A65" s="3" t="str">
        <f>CONCATENATE(B65,B66)</f>
        <v xml:space="preserve">  &lt;/g&gt;&lt;/svg&gt;</v>
      </c>
      <c r="B65" s="2" t="s">
        <v>51</v>
      </c>
    </row>
    <row r="66" spans="1:2">
      <c r="B66" s="2" t="s">
        <v>52</v>
      </c>
    </row>
    <row r="67" spans="1:2"/>
    <row r="68" spans="1: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"/>
  <dimension ref="A1:B55"/>
  <sheetViews>
    <sheetView workbookViewId="0">
      <selection sqref="A1:B55"/>
    </sheetView>
  </sheetViews>
  <sheetFormatPr defaultRowHeight="15"/>
  <sheetData>
    <row r="1" spans="1:2">
      <c r="A1">
        <v>2.1</v>
      </c>
      <c r="B1">
        <v>64</v>
      </c>
    </row>
    <row r="2" spans="1:2">
      <c r="A2">
        <v>4.466800000000001</v>
      </c>
      <c r="B2">
        <v>55.852000000000004</v>
      </c>
    </row>
    <row r="3" spans="1:2">
      <c r="A3">
        <v>9.8144000000000027</v>
      </c>
      <c r="B3">
        <v>45.736000000000011</v>
      </c>
    </row>
    <row r="4" spans="1:2">
      <c r="A4">
        <v>18.393599999999996</v>
      </c>
      <c r="B4">
        <v>35.343999999999994</v>
      </c>
    </row>
    <row r="5" spans="1:2">
      <c r="A5">
        <v>30.455200000000001</v>
      </c>
      <c r="B5">
        <v>26.367999999999999</v>
      </c>
    </row>
    <row r="6" spans="1:2">
      <c r="A6">
        <v>46.25</v>
      </c>
      <c r="B6">
        <v>20.5</v>
      </c>
    </row>
    <row r="7" spans="1:2">
      <c r="A7">
        <v>66.02879999999999</v>
      </c>
      <c r="B7">
        <v>19.432000000000002</v>
      </c>
    </row>
    <row r="8" spans="1:2">
      <c r="A8">
        <v>90.042399999999986</v>
      </c>
      <c r="B8">
        <v>24.855999999999995</v>
      </c>
    </row>
    <row r="9" spans="1:2">
      <c r="A9">
        <v>118.54160000000002</v>
      </c>
      <c r="B9">
        <v>38.464000000000006</v>
      </c>
    </row>
    <row r="10" spans="1:2">
      <c r="A10">
        <v>151.77720000000002</v>
      </c>
      <c r="B10">
        <v>61.948000000000008</v>
      </c>
    </row>
    <row r="11" spans="1:2">
      <c r="A11">
        <v>190</v>
      </c>
      <c r="B11">
        <v>97</v>
      </c>
    </row>
    <row r="12" spans="1:2">
      <c r="A12">
        <v>190</v>
      </c>
      <c r="B12">
        <v>97</v>
      </c>
    </row>
    <row r="13" spans="1:2">
      <c r="A13">
        <v>199.37000000000003</v>
      </c>
      <c r="B13">
        <v>80.18610000000001</v>
      </c>
    </row>
    <row r="14" spans="1:2">
      <c r="A14">
        <v>214.56000000000006</v>
      </c>
      <c r="B14">
        <v>65.292800000000014</v>
      </c>
    </row>
    <row r="15" spans="1:2">
      <c r="A15">
        <v>234.18999999999997</v>
      </c>
      <c r="B15">
        <v>53.442699999999988</v>
      </c>
    </row>
    <row r="16" spans="1:2">
      <c r="A16">
        <v>256.88</v>
      </c>
      <c r="B16">
        <v>45.758400000000002</v>
      </c>
    </row>
    <row r="17" spans="1:2">
      <c r="A17">
        <v>281.25</v>
      </c>
      <c r="B17">
        <v>43.362499999999997</v>
      </c>
    </row>
    <row r="18" spans="1:2">
      <c r="A18">
        <v>305.92</v>
      </c>
      <c r="B18">
        <v>47.377600000000001</v>
      </c>
    </row>
    <row r="19" spans="1:2">
      <c r="A19">
        <v>329.51</v>
      </c>
      <c r="B19">
        <v>58.926299999999991</v>
      </c>
    </row>
    <row r="20" spans="1:2">
      <c r="A20">
        <v>350.64</v>
      </c>
      <c r="B20">
        <v>79.131200000000007</v>
      </c>
    </row>
    <row r="21" spans="1:2">
      <c r="A21">
        <v>367.93</v>
      </c>
      <c r="B21">
        <v>109.11490000000001</v>
      </c>
    </row>
    <row r="22" spans="1:2">
      <c r="A22">
        <v>380</v>
      </c>
      <c r="B22">
        <v>150</v>
      </c>
    </row>
    <row r="23" spans="1:2">
      <c r="A23">
        <v>380</v>
      </c>
      <c r="B23">
        <v>150</v>
      </c>
    </row>
    <row r="24" spans="1:2">
      <c r="A24">
        <v>397.73000000000008</v>
      </c>
      <c r="B24">
        <v>167.97000000000003</v>
      </c>
    </row>
    <row r="25" spans="1:2">
      <c r="A25">
        <v>415.04000000000008</v>
      </c>
      <c r="B25">
        <v>185.76000000000005</v>
      </c>
    </row>
    <row r="26" spans="1:2">
      <c r="A26">
        <v>432.1099999999999</v>
      </c>
      <c r="B26">
        <v>203.18999999999997</v>
      </c>
    </row>
    <row r="27" spans="1:2">
      <c r="A27">
        <v>449.12</v>
      </c>
      <c r="B27">
        <v>220.08</v>
      </c>
    </row>
    <row r="28" spans="1:2">
      <c r="A28">
        <v>466.25</v>
      </c>
      <c r="B28">
        <v>236.25</v>
      </c>
    </row>
    <row r="29" spans="1:2">
      <c r="A29">
        <v>483.68</v>
      </c>
      <c r="B29">
        <v>251.52</v>
      </c>
    </row>
    <row r="30" spans="1:2">
      <c r="A30">
        <v>501.59</v>
      </c>
      <c r="B30">
        <v>265.70999999999998</v>
      </c>
    </row>
    <row r="31" spans="1:2">
      <c r="A31">
        <v>520.16</v>
      </c>
      <c r="B31">
        <v>278.64</v>
      </c>
    </row>
    <row r="32" spans="1:2">
      <c r="A32">
        <v>539.57000000000005</v>
      </c>
      <c r="B32">
        <v>290.13</v>
      </c>
    </row>
    <row r="33" spans="1:2">
      <c r="A33">
        <v>560</v>
      </c>
      <c r="B33">
        <v>300</v>
      </c>
    </row>
    <row r="34" spans="1:2">
      <c r="A34">
        <v>560</v>
      </c>
      <c r="B34">
        <v>300</v>
      </c>
    </row>
    <row r="35" spans="1:2">
      <c r="A35">
        <v>576.37000000000012</v>
      </c>
      <c r="B35">
        <v>279.51000000000005</v>
      </c>
    </row>
    <row r="36" spans="1:2">
      <c r="A36">
        <v>594.96000000000015</v>
      </c>
      <c r="B36">
        <v>265.68000000000006</v>
      </c>
    </row>
    <row r="37" spans="1:2">
      <c r="A37">
        <v>614.9899999999999</v>
      </c>
      <c r="B37">
        <v>257.96999999999997</v>
      </c>
    </row>
    <row r="38" spans="1:2">
      <c r="A38">
        <v>635.68000000000006</v>
      </c>
      <c r="B38">
        <v>255.84</v>
      </c>
    </row>
    <row r="39" spans="1:2">
      <c r="A39">
        <v>656.25</v>
      </c>
      <c r="B39">
        <v>258.75</v>
      </c>
    </row>
    <row r="40" spans="1:2">
      <c r="A40">
        <v>675.92</v>
      </c>
      <c r="B40">
        <v>266.16000000000003</v>
      </c>
    </row>
    <row r="41" spans="1:2">
      <c r="A41">
        <v>693.91</v>
      </c>
      <c r="B41">
        <v>277.52999999999997</v>
      </c>
    </row>
    <row r="42" spans="1:2">
      <c r="A42">
        <v>709.44</v>
      </c>
      <c r="B42">
        <v>292.32</v>
      </c>
    </row>
    <row r="43" spans="1:2">
      <c r="A43">
        <v>721.73</v>
      </c>
      <c r="B43">
        <v>309.99</v>
      </c>
    </row>
    <row r="44" spans="1:2">
      <c r="A44">
        <v>730</v>
      </c>
      <c r="B44">
        <v>330</v>
      </c>
    </row>
    <row r="45" spans="1:2">
      <c r="A45">
        <v>730</v>
      </c>
      <c r="B45">
        <v>330</v>
      </c>
    </row>
    <row r="46" spans="1:2">
      <c r="A46">
        <v>781.67000000000007</v>
      </c>
      <c r="B46">
        <v>286.07000000000005</v>
      </c>
    </row>
    <row r="47" spans="1:2">
      <c r="A47">
        <v>833.76000000000022</v>
      </c>
      <c r="B47">
        <v>260.56000000000006</v>
      </c>
    </row>
    <row r="48" spans="1:2">
      <c r="A48">
        <v>884.88999999999987</v>
      </c>
      <c r="B48">
        <v>250.88999999999996</v>
      </c>
    </row>
    <row r="49" spans="1:2">
      <c r="A49">
        <v>933.68000000000006</v>
      </c>
      <c r="B49">
        <v>254.48</v>
      </c>
    </row>
    <row r="50" spans="1:2">
      <c r="A50">
        <v>978.75</v>
      </c>
      <c r="B50">
        <v>268.75</v>
      </c>
    </row>
    <row r="51" spans="1:2">
      <c r="A51">
        <v>1018.72</v>
      </c>
      <c r="B51">
        <v>291.12</v>
      </c>
    </row>
    <row r="52" spans="1:2">
      <c r="A52">
        <v>1052.21</v>
      </c>
      <c r="B52">
        <v>319.01</v>
      </c>
    </row>
    <row r="53" spans="1:2">
      <c r="A53">
        <v>1077.8399999999999</v>
      </c>
      <c r="B53">
        <v>349.84000000000003</v>
      </c>
    </row>
    <row r="54" spans="1:2">
      <c r="A54">
        <v>1094.23</v>
      </c>
      <c r="B54">
        <v>381.03000000000003</v>
      </c>
    </row>
    <row r="55" spans="1:2">
      <c r="A55">
        <v>1100</v>
      </c>
      <c r="B55">
        <v>410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8</vt:i4>
      </vt:variant>
    </vt:vector>
  </HeadingPairs>
  <TitlesOfParts>
    <vt:vector size="12" baseType="lpstr">
      <vt:lpstr>rei</vt:lpstr>
      <vt:lpstr>peao</vt:lpstr>
      <vt:lpstr>xml</vt:lpstr>
      <vt:lpstr>Лист1</vt:lpstr>
      <vt:lpstr>_XMLbeg</vt:lpstr>
      <vt:lpstr>_XMLend</vt:lpstr>
      <vt:lpstr>cffX</vt:lpstr>
      <vt:lpstr>cffY</vt:lpstr>
      <vt:lpstr>hghZ</vt:lpstr>
      <vt:lpstr>tDEFS</vt:lpstr>
      <vt:lpstr>tMETA</vt:lpstr>
      <vt:lpstr>tSVG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Ольга Бледнова</cp:lastModifiedBy>
  <dcterms:created xsi:type="dcterms:W3CDTF">2020-05-03T10:28:22Z</dcterms:created>
  <dcterms:modified xsi:type="dcterms:W3CDTF">2020-11-29T11:38:34Z</dcterms:modified>
</cp:coreProperties>
</file>