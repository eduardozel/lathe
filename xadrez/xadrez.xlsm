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75" windowWidth="20115" windowHeight="7755" activeTab="1"/>
  </bookViews>
  <sheets>
    <sheet name="rei" sheetId="7" r:id="rId1"/>
    <sheet name="peao" sheetId="6" r:id="rId2"/>
    <sheet name="xml" sheetId="3" r:id="rId3"/>
  </sheets>
  <functionGroups/>
  <definedNames>
    <definedName name="_cX" localSheetId="0">#REF!</definedName>
    <definedName name="_cX">#REF!</definedName>
    <definedName name="_cY" localSheetId="0">#REF!</definedName>
    <definedName name="_cY">#REF!</definedName>
    <definedName name="_T00" localSheetId="0">#REF!</definedName>
    <definedName name="_T00">#REF!</definedName>
    <definedName name="_T01" localSheetId="0">#REF!</definedName>
    <definedName name="_T01">#REF!</definedName>
    <definedName name="_T02" localSheetId="0">#REF!</definedName>
    <definedName name="_T02">#REF!</definedName>
    <definedName name="_T03" localSheetId="0">#REF!</definedName>
    <definedName name="_T03">#REF!</definedName>
    <definedName name="_T11" localSheetId="0">#REF!</definedName>
    <definedName name="_T11">#REF!</definedName>
    <definedName name="_T12" localSheetId="0">#REF!</definedName>
    <definedName name="_T12">#REF!</definedName>
    <definedName name="_T13" localSheetId="0">#REF!</definedName>
    <definedName name="_T13">#REF!</definedName>
    <definedName name="_T21" localSheetId="0">#REF!</definedName>
    <definedName name="_T21">#REF!</definedName>
    <definedName name="_T22" localSheetId="0">#REF!</definedName>
    <definedName name="_T22">#REF!</definedName>
    <definedName name="_T23" localSheetId="0">#REF!</definedName>
    <definedName name="_T23">#REF!</definedName>
    <definedName name="_T31" localSheetId="0">#REF!</definedName>
    <definedName name="_T31">#REF!</definedName>
    <definedName name="_T32" localSheetId="0">#REF!</definedName>
    <definedName name="_T32">#REF!</definedName>
    <definedName name="_T33" localSheetId="0">#REF!</definedName>
    <definedName name="_T33">#REF!</definedName>
    <definedName name="_vGR" localSheetId="0">#REF!</definedName>
    <definedName name="_vGR">#REF!</definedName>
    <definedName name="_vRD" localSheetId="0">#REF!</definedName>
    <definedName name="_vRD">#REF!</definedName>
    <definedName name="_XMLbeg">xml!$A$1</definedName>
    <definedName name="_XMLend">xml!$A$2</definedName>
    <definedName name="tDEFS">xml!$A$22</definedName>
    <definedName name="tMETA">xml!$A$42</definedName>
    <definedName name="tSVG">xml!$A$7</definedName>
  </definedNames>
  <calcPr calcId="125725"/>
</workbook>
</file>

<file path=xl/calcChain.xml><?xml version="1.0" encoding="utf-8"?>
<calcChain xmlns="http://schemas.openxmlformats.org/spreadsheetml/2006/main">
  <c r="H11" i="7"/>
  <c r="G11"/>
  <c r="I11" s="1"/>
  <c r="J10"/>
  <c r="G12" s="1"/>
  <c r="I10"/>
  <c r="H10"/>
  <c r="G10"/>
  <c r="J9"/>
  <c r="I9"/>
  <c r="H9"/>
  <c r="G9"/>
  <c r="J8"/>
  <c r="I8"/>
  <c r="H8"/>
  <c r="G8"/>
  <c r="J7"/>
  <c r="I7"/>
  <c r="H7"/>
  <c r="G7"/>
  <c r="J10" i="6"/>
  <c r="G12" s="1"/>
  <c r="I10"/>
  <c r="H10"/>
  <c r="J9"/>
  <c r="I9"/>
  <c r="H9"/>
  <c r="G11"/>
  <c r="G41" i="7"/>
  <c r="G39"/>
  <c r="G37"/>
  <c r="G35"/>
  <c r="G33"/>
  <c r="G31"/>
  <c r="G29"/>
  <c r="G27"/>
  <c r="G25"/>
  <c r="G23"/>
  <c r="G21"/>
  <c r="H24"/>
  <c r="H20"/>
  <c r="H41"/>
  <c r="H39"/>
  <c r="H37"/>
  <c r="H35"/>
  <c r="H33"/>
  <c r="H31"/>
  <c r="H29"/>
  <c r="H27"/>
  <c r="H25"/>
  <c r="H23"/>
  <c r="H21"/>
  <c r="G40"/>
  <c r="G38"/>
  <c r="G36"/>
  <c r="G34"/>
  <c r="G32"/>
  <c r="G30"/>
  <c r="G28"/>
  <c r="G26"/>
  <c r="G24"/>
  <c r="G22"/>
  <c r="G20"/>
  <c r="H26"/>
  <c r="H22"/>
  <c r="H40"/>
  <c r="H38"/>
  <c r="H36"/>
  <c r="H34"/>
  <c r="H32"/>
  <c r="H30"/>
  <c r="H28"/>
  <c r="I12" l="1"/>
  <c r="J12"/>
  <c r="H12"/>
  <c r="J11"/>
  <c r="H12" i="6"/>
  <c r="I12"/>
  <c r="J12"/>
  <c r="J11"/>
  <c r="H11"/>
  <c r="I11"/>
  <c r="G10"/>
  <c r="G9"/>
  <c r="J8"/>
  <c r="J7"/>
  <c r="I8"/>
  <c r="I7"/>
  <c r="H8"/>
  <c r="H7"/>
  <c r="G8"/>
  <c r="G7"/>
  <c r="B21" i="3"/>
  <c r="A54"/>
  <c r="A1"/>
  <c r="A7"/>
  <c r="A2"/>
  <c r="A65"/>
  <c r="A42"/>
  <c r="A22"/>
  <c r="G42" i="7"/>
  <c r="G44"/>
  <c r="G46"/>
  <c r="G48"/>
  <c r="G50"/>
  <c r="G52"/>
  <c r="G43"/>
  <c r="G45"/>
  <c r="G47"/>
  <c r="G49"/>
  <c r="G51"/>
  <c r="H42" i="6"/>
  <c r="H46"/>
  <c r="G52"/>
  <c r="G51"/>
  <c r="G49"/>
  <c r="H40"/>
  <c r="H38"/>
  <c r="H35"/>
  <c r="G36"/>
  <c r="G33"/>
  <c r="G32"/>
  <c r="H29"/>
  <c r="H23"/>
  <c r="G20"/>
  <c r="G22"/>
  <c r="G26"/>
  <c r="H44"/>
  <c r="H49"/>
  <c r="H43"/>
  <c r="G48"/>
  <c r="G50"/>
  <c r="H31"/>
  <c r="H33"/>
  <c r="H39"/>
  <c r="G40"/>
  <c r="G37"/>
  <c r="G38"/>
  <c r="H28"/>
  <c r="H22"/>
  <c r="H25"/>
  <c r="G27"/>
  <c r="G29"/>
  <c r="H20"/>
  <c r="G21"/>
  <c r="H42" i="7"/>
  <c r="H44"/>
  <c r="H46"/>
  <c r="H48"/>
  <c r="H50"/>
  <c r="H52"/>
  <c r="H43"/>
  <c r="H45"/>
  <c r="H47"/>
  <c r="H49"/>
  <c r="H51"/>
  <c r="H48" i="6"/>
  <c r="H50"/>
  <c r="H47"/>
  <c r="G44"/>
  <c r="G43"/>
  <c r="G42"/>
  <c r="H37"/>
  <c r="H34"/>
  <c r="G31"/>
  <c r="G41"/>
  <c r="G35"/>
  <c r="H21"/>
  <c r="H27"/>
  <c r="H30"/>
  <c r="G28"/>
  <c r="G23"/>
  <c r="G25"/>
  <c r="H52"/>
  <c r="H45"/>
  <c r="H51"/>
  <c r="G46"/>
  <c r="G47"/>
  <c r="G45"/>
  <c r="H41"/>
  <c r="H36"/>
  <c r="H32"/>
  <c r="G34"/>
  <c r="G39"/>
  <c r="H24"/>
  <c r="H26"/>
  <c r="G24"/>
  <c r="G30"/>
  <c r="G14" i="7" l="1"/>
  <c r="G13"/>
  <c r="G14" i="6"/>
  <c r="G13"/>
  <c r="I14" i="7" l="1"/>
  <c r="J14"/>
  <c r="H14"/>
  <c r="I13"/>
  <c r="H13"/>
  <c r="J13"/>
  <c r="H14" i="6"/>
  <c r="I14"/>
  <c r="J14"/>
  <c r="J13"/>
  <c r="H13"/>
  <c r="I13"/>
  <c r="H60"/>
  <c r="H57"/>
  <c r="G61"/>
  <c r="G56"/>
  <c r="H63"/>
  <c r="H53"/>
  <c r="H54"/>
  <c r="G59"/>
  <c r="G60"/>
  <c r="H61"/>
  <c r="G63"/>
  <c r="G53"/>
  <c r="H54" i="7"/>
  <c r="H56"/>
  <c r="H58"/>
  <c r="H60"/>
  <c r="H62"/>
  <c r="H53"/>
  <c r="H55"/>
  <c r="H57"/>
  <c r="H59"/>
  <c r="H61"/>
  <c r="H63"/>
  <c r="G54"/>
  <c r="G56"/>
  <c r="G58"/>
  <c r="G60"/>
  <c r="G62"/>
  <c r="G53"/>
  <c r="G55"/>
  <c r="G57"/>
  <c r="G59"/>
  <c r="G61"/>
  <c r="G63"/>
  <c r="H55" i="6"/>
  <c r="H58"/>
  <c r="G58"/>
  <c r="H59"/>
  <c r="H56"/>
  <c r="H62"/>
  <c r="G57"/>
  <c r="G62"/>
  <c r="G54"/>
  <c r="G55"/>
  <c r="G15" i="7" l="1"/>
  <c r="G16"/>
  <c r="G16" i="6"/>
  <c r="G15"/>
  <c r="I15" i="7" l="1"/>
  <c r="H15"/>
  <c r="J15"/>
  <c r="I16"/>
  <c r="J16"/>
  <c r="H16"/>
  <c r="J16" i="6"/>
  <c r="H16"/>
  <c r="I16"/>
  <c r="H15"/>
  <c r="I15"/>
  <c r="J15"/>
  <c r="H74"/>
  <c r="H71"/>
  <c r="G73"/>
  <c r="G65"/>
  <c r="G66"/>
  <c r="G69"/>
  <c r="G74"/>
  <c r="G64" i="7"/>
  <c r="G66"/>
  <c r="G68"/>
  <c r="G70"/>
  <c r="G72"/>
  <c r="G74"/>
  <c r="G65"/>
  <c r="G67"/>
  <c r="G69"/>
  <c r="G71"/>
  <c r="G73"/>
  <c r="H65" i="6"/>
  <c r="H64"/>
  <c r="H68"/>
  <c r="G67"/>
  <c r="G68"/>
  <c r="G72"/>
  <c r="G64"/>
  <c r="H69"/>
  <c r="H66"/>
  <c r="H72"/>
  <c r="G70"/>
  <c r="H64" i="7"/>
  <c r="H66"/>
  <c r="H68"/>
  <c r="H70"/>
  <c r="H72"/>
  <c r="H74"/>
  <c r="H65"/>
  <c r="H67"/>
  <c r="H69"/>
  <c r="H71"/>
  <c r="H73"/>
  <c r="H73" i="6"/>
  <c r="H70"/>
  <c r="H67"/>
  <c r="G71"/>
</calcChain>
</file>

<file path=xl/sharedStrings.xml><?xml version="1.0" encoding="utf-8"?>
<sst xmlns="http://schemas.openxmlformats.org/spreadsheetml/2006/main" count="125" uniqueCount="81">
  <si>
    <t>&lt;?xml version="1.0" encoding="UTF-8" standalone="no"?&gt;</t>
  </si>
  <si>
    <t>&lt;!-- Created with Inkscape (http://www.inkscape.org/) --&gt;</t>
  </si>
  <si>
    <t>&lt;svg</t>
  </si>
  <si>
    <t xml:space="preserve">   xmlns:dc="http://purl.org/dc/elements/1.1/"</t>
  </si>
  <si>
    <t xml:space="preserve">   xmlns:cc="http://creativecommons.org/ns#"</t>
  </si>
  <si>
    <t xml:space="preserve">   xmlns:rdf="http://www.w3.org/1999/02/22-rdf-syntax-ns#"</t>
  </si>
  <si>
    <t xml:space="preserve">   xmlns:svg="http://www.w3.org/2000/svg"</t>
  </si>
  <si>
    <t xml:space="preserve">   xmlns="http://www.w3.org/2000/svg"</t>
  </si>
  <si>
    <t xml:space="preserve">   xmlns:sodipodi="http://sodipodi.sourceforge.net/DTD/sodipodi-0.dtd"</t>
  </si>
  <si>
    <t xml:space="preserve">   xmlns:inkscape="http://www.inkscape.org/namespaces/inkscape"</t>
  </si>
  <si>
    <t xml:space="preserve">   width="210mm"</t>
  </si>
  <si>
    <t xml:space="preserve">   height="297mm"</t>
  </si>
  <si>
    <t xml:space="preserve">   viewBox="0 0 210 297"</t>
  </si>
  <si>
    <t xml:space="preserve">   version="1.1"</t>
  </si>
  <si>
    <t xml:space="preserve">   id="svg8"</t>
  </si>
  <si>
    <t xml:space="preserve">   inkscape:version="0.92.5 (2060ec1f9f, 2020-04-08)"</t>
  </si>
  <si>
    <t xml:space="preserve">  &lt;defs</t>
  </si>
  <si>
    <t xml:space="preserve">     id="defs2" /&gt;</t>
  </si>
  <si>
    <t xml:space="preserve">  &lt;sodipodi:namedview</t>
  </si>
  <si>
    <t xml:space="preserve">     id="base"</t>
  </si>
  <si>
    <t xml:space="preserve">     pagecolor="#ffffff"</t>
  </si>
  <si>
    <t xml:space="preserve">     bordercolor="#666666"</t>
  </si>
  <si>
    <t xml:space="preserve">     borderopacity="1.0"</t>
  </si>
  <si>
    <t xml:space="preserve">     inkscape:pageopacity="0.0"</t>
  </si>
  <si>
    <t xml:space="preserve">     inkscape:pageshadow="2"</t>
  </si>
  <si>
    <t xml:space="preserve">     inkscape:zoom="4.7"</t>
  </si>
  <si>
    <t xml:space="preserve">     inkscape:cx="3.4e+02"</t>
  </si>
  <si>
    <t xml:space="preserve">     inkscape:cy="1.1e+03"</t>
  </si>
  <si>
    <t xml:space="preserve">     inkscape:document-units="mm"</t>
  </si>
  <si>
    <t xml:space="preserve">     inkscape:current-layer="layer1"</t>
  </si>
  <si>
    <t xml:space="preserve">     showgrid="false"</t>
  </si>
  <si>
    <t xml:space="preserve">     inkscape:window-width="1366"</t>
  </si>
  <si>
    <t xml:space="preserve">     inkscape:window-height="705"</t>
  </si>
  <si>
    <t xml:space="preserve">     inkscape:window-x="-8"</t>
  </si>
  <si>
    <t xml:space="preserve">     inkscape:window-y="-8"</t>
  </si>
  <si>
    <t xml:space="preserve">     inkscape:window-maximized="1" /&gt;</t>
  </si>
  <si>
    <t xml:space="preserve">  &lt;metadata</t>
  </si>
  <si>
    <t xml:space="preserve">     id="metadata5"&gt;</t>
  </si>
  <si>
    <t xml:space="preserve">    &lt;rdf:RDF&gt;</t>
  </si>
  <si>
    <t xml:space="preserve">      &lt;cc:Work</t>
  </si>
  <si>
    <t xml:space="preserve">         rdf:about=""&gt;</t>
  </si>
  <si>
    <t xml:space="preserve">        &lt;dc:format&gt;image/svg+xml&lt;/dc:format&gt;</t>
  </si>
  <si>
    <t xml:space="preserve">        &lt;dc:type</t>
  </si>
  <si>
    <t xml:space="preserve">           rdf:resource="http://purl.org/dc/dcmitype/StillImage" /&gt;</t>
  </si>
  <si>
    <t xml:space="preserve">        &lt;dc:title /&gt;</t>
  </si>
  <si>
    <t xml:space="preserve">      &lt;/cc:Work&gt;</t>
  </si>
  <si>
    <t xml:space="preserve">    &lt;/rdf:RDF&gt;</t>
  </si>
  <si>
    <t xml:space="preserve">  &lt;/metadata&gt;</t>
  </si>
  <si>
    <t xml:space="preserve">  &lt;g</t>
  </si>
  <si>
    <t xml:space="preserve">     inkscape:label="Layer 1"</t>
  </si>
  <si>
    <t xml:space="preserve">     inkscape:groupmode="layer"</t>
  </si>
  <si>
    <t xml:space="preserve">  &lt;/g&gt;</t>
  </si>
  <si>
    <t>&lt;/svg&gt;</t>
  </si>
  <si>
    <t>espelho11</t>
  </si>
  <si>
    <t xml:space="preserve">     id="layer1"&gt;</t>
  </si>
  <si>
    <t>x</t>
  </si>
  <si>
    <t>y</t>
  </si>
  <si>
    <t>M</t>
  </si>
  <si>
    <t>C</t>
  </si>
  <si>
    <t>c</t>
  </si>
  <si>
    <t>M 2.1,64 C 5.3,42 54,-41 190,97 210,39 350,-5.7 380,150 c 60,60 110,120 180,150 50,-80 150,-40 170,30 170,-180 370,-10 370,80</t>
  </si>
  <si>
    <t>2.1,64</t>
  </si>
  <si>
    <t>5.3,42</t>
  </si>
  <si>
    <t>54,-41</t>
  </si>
  <si>
    <t>190,97</t>
  </si>
  <si>
    <t>210,39</t>
  </si>
  <si>
    <t>350,-5.7</t>
  </si>
  <si>
    <t>60,60</t>
  </si>
  <si>
    <t>50,-80</t>
  </si>
  <si>
    <t>150,-40</t>
  </si>
  <si>
    <t>170,30</t>
  </si>
  <si>
    <t>170,-180</t>
  </si>
  <si>
    <t>370,-10</t>
  </si>
  <si>
    <t>370,80</t>
  </si>
  <si>
    <t>P0</t>
  </si>
  <si>
    <t>P1</t>
  </si>
  <si>
    <t>P2</t>
  </si>
  <si>
    <t>P3</t>
  </si>
  <si>
    <t>rei</t>
  </si>
  <si>
    <t>M -0.73,47 -0.36,22 C 6.8,21 -1.9,11 26,23 c 18,-4 21,-22.95 74,7 10,-5 20,-7 30,10 50,31 110,40 130,40 V 63 c 10,-27 40,-13 40,1 l 0,12 c 40,-3 70,-8 90,-39 10,-10 20,-16 40,1 0,5 10,12 0,23 l 0,26 70,33</t>
  </si>
  <si>
    <t>peao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</si>
</sst>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2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2" borderId="0" xfId="0" applyFill="1" applyAlignment="1">
      <alignment horizontal="right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310133</xdr:colOff>
      <xdr:row>17</xdr:row>
      <xdr:rowOff>78364</xdr:rowOff>
    </xdr:from>
    <xdr:to>
      <xdr:col>12</xdr:col>
      <xdr:colOff>316145</xdr:colOff>
      <xdr:row>17</xdr:row>
      <xdr:rowOff>99059</xdr:rowOff>
    </xdr:to>
    <xdr:cxnSp macro="">
      <xdr:nvCxnSpPr>
        <xdr:cNvPr id="3" name="Прямая соединительная линия 2"/>
        <xdr:cNvCxnSpPr/>
      </xdr:nvCxnSpPr>
      <xdr:spPr>
        <a:xfrm flipV="1">
          <a:off x="7625333" y="3316864"/>
          <a:ext cx="6012" cy="20695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316145</xdr:colOff>
      <xdr:row>17</xdr:row>
      <xdr:rowOff>52669</xdr:rowOff>
    </xdr:from>
    <xdr:to>
      <xdr:col>12</xdr:col>
      <xdr:colOff>329728</xdr:colOff>
      <xdr:row>17</xdr:row>
      <xdr:rowOff>78364</xdr:rowOff>
    </xdr:to>
    <xdr:cxnSp macro="">
      <xdr:nvCxnSpPr>
        <xdr:cNvPr id="4" name="Прямая соединительная линия 3"/>
        <xdr:cNvCxnSpPr/>
      </xdr:nvCxnSpPr>
      <xdr:spPr>
        <a:xfrm flipV="1">
          <a:off x="7631345" y="3291169"/>
          <a:ext cx="13583" cy="25695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329728</xdr:colOff>
      <xdr:row>17</xdr:row>
      <xdr:rowOff>26273</xdr:rowOff>
    </xdr:from>
    <xdr:to>
      <xdr:col>12</xdr:col>
      <xdr:colOff>351519</xdr:colOff>
      <xdr:row>17</xdr:row>
      <xdr:rowOff>52669</xdr:rowOff>
    </xdr:to>
    <xdr:cxnSp macro="">
      <xdr:nvCxnSpPr>
        <xdr:cNvPr id="5" name="Прямая соединительная линия 4"/>
        <xdr:cNvCxnSpPr/>
      </xdr:nvCxnSpPr>
      <xdr:spPr>
        <a:xfrm flipV="1">
          <a:off x="7644928" y="3264773"/>
          <a:ext cx="21791" cy="26396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351519</xdr:colOff>
      <xdr:row>17</xdr:row>
      <xdr:rowOff>3474</xdr:rowOff>
    </xdr:from>
    <xdr:to>
      <xdr:col>12</xdr:col>
      <xdr:colOff>382156</xdr:colOff>
      <xdr:row>17</xdr:row>
      <xdr:rowOff>26273</xdr:rowOff>
    </xdr:to>
    <xdr:cxnSp macro="">
      <xdr:nvCxnSpPr>
        <xdr:cNvPr id="6" name="Прямая соединительная линия 5"/>
        <xdr:cNvCxnSpPr/>
      </xdr:nvCxnSpPr>
      <xdr:spPr>
        <a:xfrm flipV="1">
          <a:off x="7666719" y="3241974"/>
          <a:ext cx="30637" cy="22799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382156</xdr:colOff>
      <xdr:row>16</xdr:row>
      <xdr:rowOff>179070</xdr:rowOff>
    </xdr:from>
    <xdr:to>
      <xdr:col>12</xdr:col>
      <xdr:colOff>422275</xdr:colOff>
      <xdr:row>17</xdr:row>
      <xdr:rowOff>3474</xdr:rowOff>
    </xdr:to>
    <xdr:cxnSp macro="">
      <xdr:nvCxnSpPr>
        <xdr:cNvPr id="7" name="Прямая соединительная линия 6"/>
        <xdr:cNvCxnSpPr/>
      </xdr:nvCxnSpPr>
      <xdr:spPr>
        <a:xfrm flipV="1">
          <a:off x="7697356" y="3227070"/>
          <a:ext cx="40119" cy="14904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472513</xdr:colOff>
      <xdr:row>16</xdr:row>
      <xdr:rowOff>176357</xdr:rowOff>
    </xdr:from>
    <xdr:to>
      <xdr:col>12</xdr:col>
      <xdr:colOff>533507</xdr:colOff>
      <xdr:row>16</xdr:row>
      <xdr:rowOff>190134</xdr:rowOff>
    </xdr:to>
    <xdr:cxnSp macro="">
      <xdr:nvCxnSpPr>
        <xdr:cNvPr id="9" name="Прямая соединительная линия 8"/>
        <xdr:cNvCxnSpPr/>
      </xdr:nvCxnSpPr>
      <xdr:spPr>
        <a:xfrm>
          <a:off x="7787713" y="3224357"/>
          <a:ext cx="60994" cy="13777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533507</xdr:colOff>
      <xdr:row>16</xdr:row>
      <xdr:rowOff>190134</xdr:rowOff>
    </xdr:from>
    <xdr:to>
      <xdr:col>12</xdr:col>
      <xdr:colOff>605895</xdr:colOff>
      <xdr:row>17</xdr:row>
      <xdr:rowOff>34198</xdr:rowOff>
    </xdr:to>
    <xdr:cxnSp macro="">
      <xdr:nvCxnSpPr>
        <xdr:cNvPr id="10" name="Прямая соединительная линия 9"/>
        <xdr:cNvCxnSpPr/>
      </xdr:nvCxnSpPr>
      <xdr:spPr>
        <a:xfrm>
          <a:off x="7848707" y="3238134"/>
          <a:ext cx="72388" cy="34564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177800</xdr:colOff>
      <xdr:row>17</xdr:row>
      <xdr:rowOff>140172</xdr:rowOff>
    </xdr:from>
    <xdr:to>
      <xdr:col>13</xdr:col>
      <xdr:colOff>201600</xdr:colOff>
      <xdr:row>17</xdr:row>
      <xdr:rowOff>182879</xdr:rowOff>
    </xdr:to>
    <xdr:cxnSp macro="">
      <xdr:nvCxnSpPr>
        <xdr:cNvPr id="13" name="Прямая соединительная линия 12"/>
        <xdr:cNvCxnSpPr/>
      </xdr:nvCxnSpPr>
      <xdr:spPr>
        <a:xfrm flipV="1">
          <a:off x="8102600" y="3378672"/>
          <a:ext cx="23800" cy="42707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201600</xdr:colOff>
      <xdr:row>17</xdr:row>
      <xdr:rowOff>102343</xdr:rowOff>
    </xdr:from>
    <xdr:to>
      <xdr:col>13</xdr:col>
      <xdr:colOff>240182</xdr:colOff>
      <xdr:row>17</xdr:row>
      <xdr:rowOff>140172</xdr:rowOff>
    </xdr:to>
    <xdr:cxnSp macro="">
      <xdr:nvCxnSpPr>
        <xdr:cNvPr id="14" name="Прямая соединительная линия 13"/>
        <xdr:cNvCxnSpPr/>
      </xdr:nvCxnSpPr>
      <xdr:spPr>
        <a:xfrm flipV="1">
          <a:off x="8126400" y="3340843"/>
          <a:ext cx="38582" cy="37829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290042</xdr:colOff>
      <xdr:row>17</xdr:row>
      <xdr:rowOff>52726</xdr:rowOff>
    </xdr:from>
    <xdr:to>
      <xdr:col>13</xdr:col>
      <xdr:colOff>347674</xdr:colOff>
      <xdr:row>17</xdr:row>
      <xdr:rowOff>72244</xdr:rowOff>
    </xdr:to>
    <xdr:cxnSp macro="">
      <xdr:nvCxnSpPr>
        <xdr:cNvPr id="16" name="Прямая соединительная линия 15"/>
        <xdr:cNvCxnSpPr/>
      </xdr:nvCxnSpPr>
      <xdr:spPr>
        <a:xfrm flipV="1">
          <a:off x="8214842" y="3291226"/>
          <a:ext cx="57632" cy="19518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409575</xdr:colOff>
      <xdr:row>17</xdr:row>
      <xdr:rowOff>46640</xdr:rowOff>
    </xdr:from>
    <xdr:to>
      <xdr:col>13</xdr:col>
      <xdr:colOff>472237</xdr:colOff>
      <xdr:row>17</xdr:row>
      <xdr:rowOff>56839</xdr:rowOff>
    </xdr:to>
    <xdr:cxnSp macro="">
      <xdr:nvCxnSpPr>
        <xdr:cNvPr id="18" name="Прямая соединительная линия 17"/>
        <xdr:cNvCxnSpPr/>
      </xdr:nvCxnSpPr>
      <xdr:spPr>
        <a:xfrm>
          <a:off x="8334375" y="3285140"/>
          <a:ext cx="62662" cy="10199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472237</xdr:colOff>
      <xdr:row>17</xdr:row>
      <xdr:rowOff>56839</xdr:rowOff>
    </xdr:from>
    <xdr:to>
      <xdr:col>13</xdr:col>
      <xdr:colOff>532155</xdr:colOff>
      <xdr:row>17</xdr:row>
      <xdr:rowOff>86172</xdr:rowOff>
    </xdr:to>
    <xdr:cxnSp macro="">
      <xdr:nvCxnSpPr>
        <xdr:cNvPr id="19" name="Прямая соединительная линия 18"/>
        <xdr:cNvCxnSpPr/>
      </xdr:nvCxnSpPr>
      <xdr:spPr>
        <a:xfrm>
          <a:off x="8397037" y="3295339"/>
          <a:ext cx="59918" cy="29333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585825</xdr:colOff>
      <xdr:row>17</xdr:row>
      <xdr:rowOff>137493</xdr:rowOff>
    </xdr:from>
    <xdr:to>
      <xdr:col>14</xdr:col>
      <xdr:colOff>20142</xdr:colOff>
      <xdr:row>18</xdr:row>
      <xdr:rowOff>23151</xdr:rowOff>
    </xdr:to>
    <xdr:cxnSp macro="">
      <xdr:nvCxnSpPr>
        <xdr:cNvPr id="21" name="Прямая соединительная линия 20"/>
        <xdr:cNvCxnSpPr/>
      </xdr:nvCxnSpPr>
      <xdr:spPr>
        <a:xfrm>
          <a:off x="8510625" y="3375993"/>
          <a:ext cx="43917" cy="76158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95834</xdr:colOff>
      <xdr:row>18</xdr:row>
      <xdr:rowOff>172643</xdr:rowOff>
    </xdr:from>
    <xdr:to>
      <xdr:col>14</xdr:col>
      <xdr:colOff>139801</xdr:colOff>
      <xdr:row>19</xdr:row>
      <xdr:rowOff>27330</xdr:rowOff>
    </xdr:to>
    <xdr:cxnSp macro="">
      <xdr:nvCxnSpPr>
        <xdr:cNvPr id="24" name="Прямая соединительная линия 23"/>
        <xdr:cNvCxnSpPr/>
      </xdr:nvCxnSpPr>
      <xdr:spPr>
        <a:xfrm>
          <a:off x="8630234" y="3601643"/>
          <a:ext cx="43967" cy="45187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139801</xdr:colOff>
      <xdr:row>19</xdr:row>
      <xdr:rowOff>27330</xdr:rowOff>
    </xdr:from>
    <xdr:to>
      <xdr:col>14</xdr:col>
      <xdr:colOff>183159</xdr:colOff>
      <xdr:row>19</xdr:row>
      <xdr:rowOff>71602</xdr:rowOff>
    </xdr:to>
    <xdr:cxnSp macro="">
      <xdr:nvCxnSpPr>
        <xdr:cNvPr id="25" name="Прямая соединительная линия 24"/>
        <xdr:cNvCxnSpPr/>
      </xdr:nvCxnSpPr>
      <xdr:spPr>
        <a:xfrm>
          <a:off x="8674201" y="3646830"/>
          <a:ext cx="43358" cy="44272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226364</xdr:colOff>
      <xdr:row>19</xdr:row>
      <xdr:rowOff>114503</xdr:rowOff>
    </xdr:from>
    <xdr:to>
      <xdr:col>14</xdr:col>
      <xdr:colOff>269875</xdr:colOff>
      <xdr:row>19</xdr:row>
      <xdr:rowOff>155575</xdr:rowOff>
    </xdr:to>
    <xdr:cxnSp macro="">
      <xdr:nvCxnSpPr>
        <xdr:cNvPr id="27" name="Прямая соединительная линия 26"/>
        <xdr:cNvCxnSpPr/>
      </xdr:nvCxnSpPr>
      <xdr:spPr>
        <a:xfrm>
          <a:off x="8760764" y="3734003"/>
          <a:ext cx="43511" cy="41072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269875</xdr:colOff>
      <xdr:row>19</xdr:row>
      <xdr:rowOff>155575</xdr:rowOff>
    </xdr:from>
    <xdr:to>
      <xdr:col>14</xdr:col>
      <xdr:colOff>314147</xdr:colOff>
      <xdr:row>20</xdr:row>
      <xdr:rowOff>3860</xdr:rowOff>
    </xdr:to>
    <xdr:cxnSp macro="">
      <xdr:nvCxnSpPr>
        <xdr:cNvPr id="28" name="Прямая соединительная линия 27"/>
        <xdr:cNvCxnSpPr/>
      </xdr:nvCxnSpPr>
      <xdr:spPr>
        <a:xfrm>
          <a:off x="8804275" y="3775075"/>
          <a:ext cx="44272" cy="38785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314147</xdr:colOff>
      <xdr:row>20</xdr:row>
      <xdr:rowOff>3860</xdr:rowOff>
    </xdr:from>
    <xdr:to>
      <xdr:col>14</xdr:col>
      <xdr:colOff>359638</xdr:colOff>
      <xdr:row>20</xdr:row>
      <xdr:rowOff>39903</xdr:rowOff>
    </xdr:to>
    <xdr:cxnSp macro="">
      <xdr:nvCxnSpPr>
        <xdr:cNvPr id="29" name="Прямая соединительная линия 28"/>
        <xdr:cNvCxnSpPr/>
      </xdr:nvCxnSpPr>
      <xdr:spPr>
        <a:xfrm>
          <a:off x="8848547" y="3813860"/>
          <a:ext cx="45491" cy="36043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359638</xdr:colOff>
      <xdr:row>20</xdr:row>
      <xdr:rowOff>39903</xdr:rowOff>
    </xdr:from>
    <xdr:to>
      <xdr:col>14</xdr:col>
      <xdr:colOff>406806</xdr:colOff>
      <xdr:row>20</xdr:row>
      <xdr:rowOff>72745</xdr:rowOff>
    </xdr:to>
    <xdr:cxnSp macro="">
      <xdr:nvCxnSpPr>
        <xdr:cNvPr id="30" name="Прямая соединительная линия 29"/>
        <xdr:cNvCxnSpPr/>
      </xdr:nvCxnSpPr>
      <xdr:spPr>
        <a:xfrm>
          <a:off x="8894038" y="3849903"/>
          <a:ext cx="47168" cy="32842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406806</xdr:colOff>
      <xdr:row>20</xdr:row>
      <xdr:rowOff>72745</xdr:rowOff>
    </xdr:from>
    <xdr:to>
      <xdr:col>14</xdr:col>
      <xdr:colOff>456107</xdr:colOff>
      <xdr:row>20</xdr:row>
      <xdr:rowOff>101930</xdr:rowOff>
    </xdr:to>
    <xdr:cxnSp macro="">
      <xdr:nvCxnSpPr>
        <xdr:cNvPr id="31" name="Прямая соединительная линия 30"/>
        <xdr:cNvCxnSpPr/>
      </xdr:nvCxnSpPr>
      <xdr:spPr>
        <a:xfrm>
          <a:off x="8941206" y="3882745"/>
          <a:ext cx="49301" cy="29185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456107</xdr:colOff>
      <xdr:row>20</xdr:row>
      <xdr:rowOff>101930</xdr:rowOff>
    </xdr:from>
    <xdr:to>
      <xdr:col>14</xdr:col>
      <xdr:colOff>508000</xdr:colOff>
      <xdr:row>20</xdr:row>
      <xdr:rowOff>127000</xdr:rowOff>
    </xdr:to>
    <xdr:cxnSp macro="">
      <xdr:nvCxnSpPr>
        <xdr:cNvPr id="32" name="Прямая соединительная линия 31"/>
        <xdr:cNvCxnSpPr/>
      </xdr:nvCxnSpPr>
      <xdr:spPr>
        <a:xfrm>
          <a:off x="8990507" y="3911930"/>
          <a:ext cx="51893" cy="25070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508000</xdr:colOff>
      <xdr:row>20</xdr:row>
      <xdr:rowOff>74955</xdr:rowOff>
    </xdr:from>
    <xdr:to>
      <xdr:col>14</xdr:col>
      <xdr:colOff>549579</xdr:colOff>
      <xdr:row>20</xdr:row>
      <xdr:rowOff>127000</xdr:rowOff>
    </xdr:to>
    <xdr:cxnSp macro="">
      <xdr:nvCxnSpPr>
        <xdr:cNvPr id="33" name="Прямая соединительная линия 32"/>
        <xdr:cNvCxnSpPr/>
      </xdr:nvCxnSpPr>
      <xdr:spPr>
        <a:xfrm flipV="1">
          <a:off x="9042400" y="3884955"/>
          <a:ext cx="41579" cy="52045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596798</xdr:colOff>
      <xdr:row>20</xdr:row>
      <xdr:rowOff>20243</xdr:rowOff>
    </xdr:from>
    <xdr:to>
      <xdr:col>15</xdr:col>
      <xdr:colOff>38074</xdr:colOff>
      <xdr:row>20</xdr:row>
      <xdr:rowOff>39827</xdr:rowOff>
    </xdr:to>
    <xdr:cxnSp macro="">
      <xdr:nvCxnSpPr>
        <xdr:cNvPr id="35" name="Прямая соединительная линия 34"/>
        <xdr:cNvCxnSpPr/>
      </xdr:nvCxnSpPr>
      <xdr:spPr>
        <a:xfrm flipV="1">
          <a:off x="9131198" y="3830243"/>
          <a:ext cx="50876" cy="19584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38074</xdr:colOff>
      <xdr:row>20</xdr:row>
      <xdr:rowOff>14833</xdr:rowOff>
    </xdr:from>
    <xdr:to>
      <xdr:col>15</xdr:col>
      <xdr:colOff>90627</xdr:colOff>
      <xdr:row>20</xdr:row>
      <xdr:rowOff>20243</xdr:rowOff>
    </xdr:to>
    <xdr:cxnSp macro="">
      <xdr:nvCxnSpPr>
        <xdr:cNvPr id="36" name="Прямая соединительная линия 35"/>
        <xdr:cNvCxnSpPr/>
      </xdr:nvCxnSpPr>
      <xdr:spPr>
        <a:xfrm flipV="1">
          <a:off x="9182074" y="3824833"/>
          <a:ext cx="52553" cy="5410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90627</xdr:colOff>
      <xdr:row>20</xdr:row>
      <xdr:rowOff>14833</xdr:rowOff>
    </xdr:from>
    <xdr:to>
      <xdr:col>15</xdr:col>
      <xdr:colOff>142875</xdr:colOff>
      <xdr:row>20</xdr:row>
      <xdr:rowOff>22225</xdr:rowOff>
    </xdr:to>
    <xdr:cxnSp macro="">
      <xdr:nvCxnSpPr>
        <xdr:cNvPr id="37" name="Прямая соединительная линия 36"/>
        <xdr:cNvCxnSpPr/>
      </xdr:nvCxnSpPr>
      <xdr:spPr>
        <a:xfrm>
          <a:off x="9234627" y="3824833"/>
          <a:ext cx="52248" cy="7392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192837</xdr:colOff>
      <xdr:row>20</xdr:row>
      <xdr:rowOff>41046</xdr:rowOff>
    </xdr:from>
    <xdr:to>
      <xdr:col>15</xdr:col>
      <xdr:colOff>238531</xdr:colOff>
      <xdr:row>20</xdr:row>
      <xdr:rowOff>69926</xdr:rowOff>
    </xdr:to>
    <xdr:cxnSp macro="">
      <xdr:nvCxnSpPr>
        <xdr:cNvPr id="39" name="Прямая соединительная линия 38"/>
        <xdr:cNvCxnSpPr/>
      </xdr:nvCxnSpPr>
      <xdr:spPr>
        <a:xfrm>
          <a:off x="9336837" y="3851046"/>
          <a:ext cx="45694" cy="28880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238531</xdr:colOff>
      <xdr:row>20</xdr:row>
      <xdr:rowOff>69926</xdr:rowOff>
    </xdr:from>
    <xdr:to>
      <xdr:col>15</xdr:col>
      <xdr:colOff>277977</xdr:colOff>
      <xdr:row>20</xdr:row>
      <xdr:rowOff>107492</xdr:rowOff>
    </xdr:to>
    <xdr:cxnSp macro="">
      <xdr:nvCxnSpPr>
        <xdr:cNvPr id="40" name="Прямая соединительная линия 39"/>
        <xdr:cNvCxnSpPr/>
      </xdr:nvCxnSpPr>
      <xdr:spPr>
        <a:xfrm>
          <a:off x="9382531" y="3879926"/>
          <a:ext cx="39446" cy="37566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309194</xdr:colOff>
      <xdr:row>20</xdr:row>
      <xdr:rowOff>152374</xdr:rowOff>
    </xdr:from>
    <xdr:to>
      <xdr:col>15</xdr:col>
      <xdr:colOff>330200</xdr:colOff>
      <xdr:row>21</xdr:row>
      <xdr:rowOff>12700</xdr:rowOff>
    </xdr:to>
    <xdr:cxnSp macro="">
      <xdr:nvCxnSpPr>
        <xdr:cNvPr id="42" name="Прямая соединительная линия 41"/>
        <xdr:cNvCxnSpPr/>
      </xdr:nvCxnSpPr>
      <xdr:spPr>
        <a:xfrm>
          <a:off x="9453194" y="3962374"/>
          <a:ext cx="21006" cy="50826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330200</xdr:colOff>
      <xdr:row>20</xdr:row>
      <xdr:rowOff>91617</xdr:rowOff>
    </xdr:from>
    <xdr:to>
      <xdr:col>15</xdr:col>
      <xdr:colOff>461441</xdr:colOff>
      <xdr:row>21</xdr:row>
      <xdr:rowOff>12700</xdr:rowOff>
    </xdr:to>
    <xdr:cxnSp macro="">
      <xdr:nvCxnSpPr>
        <xdr:cNvPr id="43" name="Прямая соединительная линия 42"/>
        <xdr:cNvCxnSpPr/>
      </xdr:nvCxnSpPr>
      <xdr:spPr>
        <a:xfrm flipV="1">
          <a:off x="9474200" y="3901617"/>
          <a:ext cx="131241" cy="111583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114020</xdr:colOff>
      <xdr:row>20</xdr:row>
      <xdr:rowOff>2260</xdr:rowOff>
    </xdr:from>
    <xdr:to>
      <xdr:col>16</xdr:col>
      <xdr:colOff>237947</xdr:colOff>
      <xdr:row>20</xdr:row>
      <xdr:rowOff>11379</xdr:rowOff>
    </xdr:to>
    <xdr:cxnSp macro="">
      <xdr:nvCxnSpPr>
        <xdr:cNvPr id="46" name="Прямая соединительная линия 45"/>
        <xdr:cNvCxnSpPr/>
      </xdr:nvCxnSpPr>
      <xdr:spPr>
        <a:xfrm>
          <a:off x="9867620" y="3812260"/>
          <a:ext cx="123927" cy="9119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237947</xdr:colOff>
      <xdr:row>20</xdr:row>
      <xdr:rowOff>11379</xdr:rowOff>
    </xdr:from>
    <xdr:to>
      <xdr:col>16</xdr:col>
      <xdr:colOff>352425</xdr:colOff>
      <xdr:row>20</xdr:row>
      <xdr:rowOff>47625</xdr:rowOff>
    </xdr:to>
    <xdr:cxnSp macro="">
      <xdr:nvCxnSpPr>
        <xdr:cNvPr id="47" name="Прямая соединительная линия 46"/>
        <xdr:cNvCxnSpPr/>
      </xdr:nvCxnSpPr>
      <xdr:spPr>
        <a:xfrm>
          <a:off x="9991547" y="3821379"/>
          <a:ext cx="114478" cy="36246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352425</xdr:colOff>
      <xdr:row>20</xdr:row>
      <xdr:rowOff>47625</xdr:rowOff>
    </xdr:from>
    <xdr:to>
      <xdr:col>16</xdr:col>
      <xdr:colOff>453949</xdr:colOff>
      <xdr:row>20</xdr:row>
      <xdr:rowOff>104444</xdr:rowOff>
    </xdr:to>
    <xdr:cxnSp macro="">
      <xdr:nvCxnSpPr>
        <xdr:cNvPr id="48" name="Прямая соединительная линия 47"/>
        <xdr:cNvCxnSpPr/>
      </xdr:nvCxnSpPr>
      <xdr:spPr>
        <a:xfrm>
          <a:off x="10106025" y="3857625"/>
          <a:ext cx="101524" cy="56819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453949</xdr:colOff>
      <xdr:row>20</xdr:row>
      <xdr:rowOff>104444</xdr:rowOff>
    </xdr:from>
    <xdr:to>
      <xdr:col>16</xdr:col>
      <xdr:colOff>539013</xdr:colOff>
      <xdr:row>20</xdr:row>
      <xdr:rowOff>175285</xdr:rowOff>
    </xdr:to>
    <xdr:cxnSp macro="">
      <xdr:nvCxnSpPr>
        <xdr:cNvPr id="49" name="Прямая соединительная линия 48"/>
        <xdr:cNvCxnSpPr/>
      </xdr:nvCxnSpPr>
      <xdr:spPr>
        <a:xfrm>
          <a:off x="10207549" y="3914444"/>
          <a:ext cx="85064" cy="70841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539013</xdr:colOff>
      <xdr:row>20</xdr:row>
      <xdr:rowOff>175285</xdr:rowOff>
    </xdr:from>
    <xdr:to>
      <xdr:col>16</xdr:col>
      <xdr:colOff>604113</xdr:colOff>
      <xdr:row>21</xdr:row>
      <xdr:rowOff>63093</xdr:rowOff>
    </xdr:to>
    <xdr:cxnSp macro="">
      <xdr:nvCxnSpPr>
        <xdr:cNvPr id="50" name="Прямая соединительная линия 49"/>
        <xdr:cNvCxnSpPr/>
      </xdr:nvCxnSpPr>
      <xdr:spPr>
        <a:xfrm>
          <a:off x="10292613" y="3985285"/>
          <a:ext cx="65100" cy="78308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604113</xdr:colOff>
      <xdr:row>21</xdr:row>
      <xdr:rowOff>63093</xdr:rowOff>
    </xdr:from>
    <xdr:to>
      <xdr:col>17</xdr:col>
      <xdr:colOff>36144</xdr:colOff>
      <xdr:row>21</xdr:row>
      <xdr:rowOff>142316</xdr:rowOff>
    </xdr:to>
    <xdr:cxnSp macro="">
      <xdr:nvCxnSpPr>
        <xdr:cNvPr id="51" name="Прямая соединительная линия 50"/>
        <xdr:cNvCxnSpPr/>
      </xdr:nvCxnSpPr>
      <xdr:spPr>
        <a:xfrm>
          <a:off x="10357713" y="4063593"/>
          <a:ext cx="41631" cy="79223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36144</xdr:colOff>
      <xdr:row>21</xdr:row>
      <xdr:rowOff>142316</xdr:rowOff>
    </xdr:from>
    <xdr:to>
      <xdr:col>17</xdr:col>
      <xdr:colOff>50800</xdr:colOff>
      <xdr:row>22</xdr:row>
      <xdr:rowOff>25400</xdr:rowOff>
    </xdr:to>
    <xdr:cxnSp macro="">
      <xdr:nvCxnSpPr>
        <xdr:cNvPr id="52" name="Прямая соединительная линия 51"/>
        <xdr:cNvCxnSpPr/>
      </xdr:nvCxnSpPr>
      <xdr:spPr>
        <a:xfrm>
          <a:off x="10399344" y="4142816"/>
          <a:ext cx="14656" cy="73584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200024</xdr:colOff>
      <xdr:row>2</xdr:row>
      <xdr:rowOff>38100</xdr:rowOff>
    </xdr:from>
    <xdr:to>
      <xdr:col>18</xdr:col>
      <xdr:colOff>495299</xdr:colOff>
      <xdr:row>14</xdr:row>
      <xdr:rowOff>54139</xdr:rowOff>
    </xdr:to>
    <xdr:pic>
      <xdr:nvPicPr>
        <xdr:cNvPr id="5126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05624" y="419100"/>
          <a:ext cx="4562475" cy="2302039"/>
        </a:xfrm>
        <a:prstGeom prst="rect">
          <a:avLst/>
        </a:prstGeom>
        <a:noFill/>
      </xdr:spPr>
    </xdr:pic>
    <xdr:clientData/>
  </xdr:twoCellAnchor>
  <xdr:twoCellAnchor>
    <xdr:from>
      <xdr:col>12</xdr:col>
      <xdr:colOff>310133</xdr:colOff>
      <xdr:row>17</xdr:row>
      <xdr:rowOff>78364</xdr:rowOff>
    </xdr:from>
    <xdr:to>
      <xdr:col>12</xdr:col>
      <xdr:colOff>316145</xdr:colOff>
      <xdr:row>17</xdr:row>
      <xdr:rowOff>99059</xdr:rowOff>
    </xdr:to>
    <xdr:cxnSp macro="">
      <xdr:nvCxnSpPr>
        <xdr:cNvPr id="53" name="Прямая соединительная линия 52"/>
        <xdr:cNvCxnSpPr/>
      </xdr:nvCxnSpPr>
      <xdr:spPr>
        <a:xfrm flipV="1">
          <a:off x="7625333" y="3316864"/>
          <a:ext cx="6012" cy="20695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316145</xdr:colOff>
      <xdr:row>17</xdr:row>
      <xdr:rowOff>52669</xdr:rowOff>
    </xdr:from>
    <xdr:to>
      <xdr:col>12</xdr:col>
      <xdr:colOff>329728</xdr:colOff>
      <xdr:row>17</xdr:row>
      <xdr:rowOff>78364</xdr:rowOff>
    </xdr:to>
    <xdr:cxnSp macro="">
      <xdr:nvCxnSpPr>
        <xdr:cNvPr id="54" name="Прямая соединительная линия 53"/>
        <xdr:cNvCxnSpPr/>
      </xdr:nvCxnSpPr>
      <xdr:spPr>
        <a:xfrm flipV="1">
          <a:off x="7631345" y="3291169"/>
          <a:ext cx="13583" cy="25695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329728</xdr:colOff>
      <xdr:row>17</xdr:row>
      <xdr:rowOff>26273</xdr:rowOff>
    </xdr:from>
    <xdr:to>
      <xdr:col>12</xdr:col>
      <xdr:colOff>351519</xdr:colOff>
      <xdr:row>17</xdr:row>
      <xdr:rowOff>52669</xdr:rowOff>
    </xdr:to>
    <xdr:cxnSp macro="">
      <xdr:nvCxnSpPr>
        <xdr:cNvPr id="55" name="Прямая соединительная линия 54"/>
        <xdr:cNvCxnSpPr/>
      </xdr:nvCxnSpPr>
      <xdr:spPr>
        <a:xfrm flipV="1">
          <a:off x="7644928" y="3264773"/>
          <a:ext cx="21791" cy="26396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351519</xdr:colOff>
      <xdr:row>17</xdr:row>
      <xdr:rowOff>3474</xdr:rowOff>
    </xdr:from>
    <xdr:to>
      <xdr:col>12</xdr:col>
      <xdr:colOff>382156</xdr:colOff>
      <xdr:row>17</xdr:row>
      <xdr:rowOff>26273</xdr:rowOff>
    </xdr:to>
    <xdr:cxnSp macro="">
      <xdr:nvCxnSpPr>
        <xdr:cNvPr id="56" name="Прямая соединительная линия 55"/>
        <xdr:cNvCxnSpPr/>
      </xdr:nvCxnSpPr>
      <xdr:spPr>
        <a:xfrm flipV="1">
          <a:off x="7666719" y="3241974"/>
          <a:ext cx="30637" cy="22799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382156</xdr:colOff>
      <xdr:row>16</xdr:row>
      <xdr:rowOff>179070</xdr:rowOff>
    </xdr:from>
    <xdr:to>
      <xdr:col>12</xdr:col>
      <xdr:colOff>422275</xdr:colOff>
      <xdr:row>17</xdr:row>
      <xdr:rowOff>3474</xdr:rowOff>
    </xdr:to>
    <xdr:cxnSp macro="">
      <xdr:nvCxnSpPr>
        <xdr:cNvPr id="57" name="Прямая соединительная линия 56"/>
        <xdr:cNvCxnSpPr/>
      </xdr:nvCxnSpPr>
      <xdr:spPr>
        <a:xfrm flipV="1">
          <a:off x="7697356" y="3227070"/>
          <a:ext cx="40119" cy="14904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422275</xdr:colOff>
      <xdr:row>16</xdr:row>
      <xdr:rowOff>176357</xdr:rowOff>
    </xdr:from>
    <xdr:to>
      <xdr:col>12</xdr:col>
      <xdr:colOff>472513</xdr:colOff>
      <xdr:row>16</xdr:row>
      <xdr:rowOff>179070</xdr:rowOff>
    </xdr:to>
    <xdr:cxnSp macro="">
      <xdr:nvCxnSpPr>
        <xdr:cNvPr id="58" name="Прямая соединительная линия 57"/>
        <xdr:cNvCxnSpPr/>
      </xdr:nvCxnSpPr>
      <xdr:spPr>
        <a:xfrm flipV="1">
          <a:off x="7737475" y="3224357"/>
          <a:ext cx="50238" cy="2713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472513</xdr:colOff>
      <xdr:row>16</xdr:row>
      <xdr:rowOff>176357</xdr:rowOff>
    </xdr:from>
    <xdr:to>
      <xdr:col>12</xdr:col>
      <xdr:colOff>533507</xdr:colOff>
      <xdr:row>16</xdr:row>
      <xdr:rowOff>190134</xdr:rowOff>
    </xdr:to>
    <xdr:cxnSp macro="">
      <xdr:nvCxnSpPr>
        <xdr:cNvPr id="59" name="Прямая соединительная линия 58"/>
        <xdr:cNvCxnSpPr/>
      </xdr:nvCxnSpPr>
      <xdr:spPr>
        <a:xfrm>
          <a:off x="7787713" y="3224357"/>
          <a:ext cx="60994" cy="13777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533507</xdr:colOff>
      <xdr:row>16</xdr:row>
      <xdr:rowOff>190134</xdr:rowOff>
    </xdr:from>
    <xdr:to>
      <xdr:col>12</xdr:col>
      <xdr:colOff>605895</xdr:colOff>
      <xdr:row>17</xdr:row>
      <xdr:rowOff>34198</xdr:rowOff>
    </xdr:to>
    <xdr:cxnSp macro="">
      <xdr:nvCxnSpPr>
        <xdr:cNvPr id="60" name="Прямая соединительная линия 59"/>
        <xdr:cNvCxnSpPr/>
      </xdr:nvCxnSpPr>
      <xdr:spPr>
        <a:xfrm>
          <a:off x="7848707" y="3238134"/>
          <a:ext cx="72388" cy="34564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605895</xdr:colOff>
      <xdr:row>17</xdr:row>
      <xdr:rowOff>34198</xdr:rowOff>
    </xdr:from>
    <xdr:to>
      <xdr:col>13</xdr:col>
      <xdr:colOff>80714</xdr:colOff>
      <xdr:row>17</xdr:row>
      <xdr:rowOff>93847</xdr:rowOff>
    </xdr:to>
    <xdr:cxnSp macro="">
      <xdr:nvCxnSpPr>
        <xdr:cNvPr id="61" name="Прямая соединительная линия 60"/>
        <xdr:cNvCxnSpPr/>
      </xdr:nvCxnSpPr>
      <xdr:spPr>
        <a:xfrm>
          <a:off x="7921095" y="3272698"/>
          <a:ext cx="84419" cy="59649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80714</xdr:colOff>
      <xdr:row>17</xdr:row>
      <xdr:rowOff>93847</xdr:rowOff>
    </xdr:from>
    <xdr:to>
      <xdr:col>13</xdr:col>
      <xdr:colOff>177800</xdr:colOff>
      <xdr:row>17</xdr:row>
      <xdr:rowOff>182879</xdr:rowOff>
    </xdr:to>
    <xdr:cxnSp macro="">
      <xdr:nvCxnSpPr>
        <xdr:cNvPr id="62" name="Прямая соединительная линия 61"/>
        <xdr:cNvCxnSpPr/>
      </xdr:nvCxnSpPr>
      <xdr:spPr>
        <a:xfrm>
          <a:off x="8005514" y="3332347"/>
          <a:ext cx="97086" cy="89032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177800</xdr:colOff>
      <xdr:row>17</xdr:row>
      <xdr:rowOff>140172</xdr:rowOff>
    </xdr:from>
    <xdr:to>
      <xdr:col>13</xdr:col>
      <xdr:colOff>201600</xdr:colOff>
      <xdr:row>17</xdr:row>
      <xdr:rowOff>182879</xdr:rowOff>
    </xdr:to>
    <xdr:cxnSp macro="">
      <xdr:nvCxnSpPr>
        <xdr:cNvPr id="63" name="Прямая соединительная линия 62"/>
        <xdr:cNvCxnSpPr/>
      </xdr:nvCxnSpPr>
      <xdr:spPr>
        <a:xfrm flipV="1">
          <a:off x="8102600" y="3378672"/>
          <a:ext cx="23800" cy="42707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201600</xdr:colOff>
      <xdr:row>17</xdr:row>
      <xdr:rowOff>102343</xdr:rowOff>
    </xdr:from>
    <xdr:to>
      <xdr:col>13</xdr:col>
      <xdr:colOff>240182</xdr:colOff>
      <xdr:row>17</xdr:row>
      <xdr:rowOff>140172</xdr:rowOff>
    </xdr:to>
    <xdr:cxnSp macro="">
      <xdr:nvCxnSpPr>
        <xdr:cNvPr id="64" name="Прямая соединительная линия 63"/>
        <xdr:cNvCxnSpPr/>
      </xdr:nvCxnSpPr>
      <xdr:spPr>
        <a:xfrm flipV="1">
          <a:off x="8126400" y="3340843"/>
          <a:ext cx="38582" cy="37829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240182</xdr:colOff>
      <xdr:row>17</xdr:row>
      <xdr:rowOff>72244</xdr:rowOff>
    </xdr:from>
    <xdr:to>
      <xdr:col>13</xdr:col>
      <xdr:colOff>290042</xdr:colOff>
      <xdr:row>17</xdr:row>
      <xdr:rowOff>102343</xdr:rowOff>
    </xdr:to>
    <xdr:cxnSp macro="">
      <xdr:nvCxnSpPr>
        <xdr:cNvPr id="65" name="Прямая соединительная линия 64"/>
        <xdr:cNvCxnSpPr/>
      </xdr:nvCxnSpPr>
      <xdr:spPr>
        <a:xfrm flipV="1">
          <a:off x="8164982" y="3310744"/>
          <a:ext cx="49860" cy="30099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290042</xdr:colOff>
      <xdr:row>17</xdr:row>
      <xdr:rowOff>52726</xdr:rowOff>
    </xdr:from>
    <xdr:to>
      <xdr:col>13</xdr:col>
      <xdr:colOff>347674</xdr:colOff>
      <xdr:row>17</xdr:row>
      <xdr:rowOff>72244</xdr:rowOff>
    </xdr:to>
    <xdr:cxnSp macro="">
      <xdr:nvCxnSpPr>
        <xdr:cNvPr id="66" name="Прямая соединительная линия 65"/>
        <xdr:cNvCxnSpPr/>
      </xdr:nvCxnSpPr>
      <xdr:spPr>
        <a:xfrm flipV="1">
          <a:off x="8214842" y="3291226"/>
          <a:ext cx="57632" cy="19518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347674</xdr:colOff>
      <xdr:row>17</xdr:row>
      <xdr:rowOff>46640</xdr:rowOff>
    </xdr:from>
    <xdr:to>
      <xdr:col>13</xdr:col>
      <xdr:colOff>409575</xdr:colOff>
      <xdr:row>17</xdr:row>
      <xdr:rowOff>52726</xdr:rowOff>
    </xdr:to>
    <xdr:cxnSp macro="">
      <xdr:nvCxnSpPr>
        <xdr:cNvPr id="67" name="Прямая соединительная линия 66"/>
        <xdr:cNvCxnSpPr/>
      </xdr:nvCxnSpPr>
      <xdr:spPr>
        <a:xfrm flipV="1">
          <a:off x="8272474" y="3285140"/>
          <a:ext cx="61901" cy="6086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409575</xdr:colOff>
      <xdr:row>17</xdr:row>
      <xdr:rowOff>46640</xdr:rowOff>
    </xdr:from>
    <xdr:to>
      <xdr:col>13</xdr:col>
      <xdr:colOff>472237</xdr:colOff>
      <xdr:row>17</xdr:row>
      <xdr:rowOff>56839</xdr:rowOff>
    </xdr:to>
    <xdr:cxnSp macro="">
      <xdr:nvCxnSpPr>
        <xdr:cNvPr id="68" name="Прямая соединительная линия 67"/>
        <xdr:cNvCxnSpPr/>
      </xdr:nvCxnSpPr>
      <xdr:spPr>
        <a:xfrm>
          <a:off x="8334375" y="3285140"/>
          <a:ext cx="62662" cy="10199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472237</xdr:colOff>
      <xdr:row>17</xdr:row>
      <xdr:rowOff>56839</xdr:rowOff>
    </xdr:from>
    <xdr:to>
      <xdr:col>13</xdr:col>
      <xdr:colOff>532155</xdr:colOff>
      <xdr:row>17</xdr:row>
      <xdr:rowOff>86172</xdr:rowOff>
    </xdr:to>
    <xdr:cxnSp macro="">
      <xdr:nvCxnSpPr>
        <xdr:cNvPr id="69" name="Прямая соединительная линия 68"/>
        <xdr:cNvCxnSpPr/>
      </xdr:nvCxnSpPr>
      <xdr:spPr>
        <a:xfrm>
          <a:off x="8397037" y="3295339"/>
          <a:ext cx="59918" cy="29333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532155</xdr:colOff>
      <xdr:row>17</xdr:row>
      <xdr:rowOff>86172</xdr:rowOff>
    </xdr:from>
    <xdr:to>
      <xdr:col>13</xdr:col>
      <xdr:colOff>585825</xdr:colOff>
      <xdr:row>17</xdr:row>
      <xdr:rowOff>137493</xdr:rowOff>
    </xdr:to>
    <xdr:cxnSp macro="">
      <xdr:nvCxnSpPr>
        <xdr:cNvPr id="70" name="Прямая соединительная линия 69"/>
        <xdr:cNvCxnSpPr/>
      </xdr:nvCxnSpPr>
      <xdr:spPr>
        <a:xfrm>
          <a:off x="8456955" y="3324672"/>
          <a:ext cx="53670" cy="51321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585825</xdr:colOff>
      <xdr:row>17</xdr:row>
      <xdr:rowOff>137493</xdr:rowOff>
    </xdr:from>
    <xdr:to>
      <xdr:col>14</xdr:col>
      <xdr:colOff>20142</xdr:colOff>
      <xdr:row>18</xdr:row>
      <xdr:rowOff>23151</xdr:rowOff>
    </xdr:to>
    <xdr:cxnSp macro="">
      <xdr:nvCxnSpPr>
        <xdr:cNvPr id="71" name="Прямая соединительная линия 70"/>
        <xdr:cNvCxnSpPr/>
      </xdr:nvCxnSpPr>
      <xdr:spPr>
        <a:xfrm>
          <a:off x="8510625" y="3375993"/>
          <a:ext cx="43917" cy="76158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20142</xdr:colOff>
      <xdr:row>18</xdr:row>
      <xdr:rowOff>23151</xdr:rowOff>
    </xdr:from>
    <xdr:to>
      <xdr:col>14</xdr:col>
      <xdr:colOff>50800</xdr:colOff>
      <xdr:row>18</xdr:row>
      <xdr:rowOff>127000</xdr:rowOff>
    </xdr:to>
    <xdr:cxnSp macro="">
      <xdr:nvCxnSpPr>
        <xdr:cNvPr id="72" name="Прямая соединительная линия 71"/>
        <xdr:cNvCxnSpPr/>
      </xdr:nvCxnSpPr>
      <xdr:spPr>
        <a:xfrm>
          <a:off x="8554542" y="3452151"/>
          <a:ext cx="30658" cy="103849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50800</xdr:colOff>
      <xdr:row>18</xdr:row>
      <xdr:rowOff>127000</xdr:rowOff>
    </xdr:from>
    <xdr:to>
      <xdr:col>14</xdr:col>
      <xdr:colOff>95834</xdr:colOff>
      <xdr:row>18</xdr:row>
      <xdr:rowOff>172643</xdr:rowOff>
    </xdr:to>
    <xdr:cxnSp macro="">
      <xdr:nvCxnSpPr>
        <xdr:cNvPr id="73" name="Прямая соединительная линия 72"/>
        <xdr:cNvCxnSpPr/>
      </xdr:nvCxnSpPr>
      <xdr:spPr>
        <a:xfrm>
          <a:off x="8585200" y="3556000"/>
          <a:ext cx="45034" cy="45643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95834</xdr:colOff>
      <xdr:row>18</xdr:row>
      <xdr:rowOff>172643</xdr:rowOff>
    </xdr:from>
    <xdr:to>
      <xdr:col>14</xdr:col>
      <xdr:colOff>139801</xdr:colOff>
      <xdr:row>19</xdr:row>
      <xdr:rowOff>27330</xdr:rowOff>
    </xdr:to>
    <xdr:cxnSp macro="">
      <xdr:nvCxnSpPr>
        <xdr:cNvPr id="74" name="Прямая соединительная линия 73"/>
        <xdr:cNvCxnSpPr/>
      </xdr:nvCxnSpPr>
      <xdr:spPr>
        <a:xfrm>
          <a:off x="8630234" y="3601643"/>
          <a:ext cx="43967" cy="45187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139801</xdr:colOff>
      <xdr:row>19</xdr:row>
      <xdr:rowOff>27330</xdr:rowOff>
    </xdr:from>
    <xdr:to>
      <xdr:col>14</xdr:col>
      <xdr:colOff>183159</xdr:colOff>
      <xdr:row>19</xdr:row>
      <xdr:rowOff>71602</xdr:rowOff>
    </xdr:to>
    <xdr:cxnSp macro="">
      <xdr:nvCxnSpPr>
        <xdr:cNvPr id="75" name="Прямая соединительная линия 74"/>
        <xdr:cNvCxnSpPr/>
      </xdr:nvCxnSpPr>
      <xdr:spPr>
        <a:xfrm>
          <a:off x="8674201" y="3646830"/>
          <a:ext cx="43358" cy="44272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183159</xdr:colOff>
      <xdr:row>19</xdr:row>
      <xdr:rowOff>71602</xdr:rowOff>
    </xdr:from>
    <xdr:to>
      <xdr:col>14</xdr:col>
      <xdr:colOff>226364</xdr:colOff>
      <xdr:row>19</xdr:row>
      <xdr:rowOff>114503</xdr:rowOff>
    </xdr:to>
    <xdr:cxnSp macro="">
      <xdr:nvCxnSpPr>
        <xdr:cNvPr id="76" name="Прямая соединительная линия 75"/>
        <xdr:cNvCxnSpPr/>
      </xdr:nvCxnSpPr>
      <xdr:spPr>
        <a:xfrm>
          <a:off x="8717559" y="3691102"/>
          <a:ext cx="43205" cy="42901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226364</xdr:colOff>
      <xdr:row>19</xdr:row>
      <xdr:rowOff>114503</xdr:rowOff>
    </xdr:from>
    <xdr:to>
      <xdr:col>14</xdr:col>
      <xdr:colOff>269875</xdr:colOff>
      <xdr:row>19</xdr:row>
      <xdr:rowOff>155575</xdr:rowOff>
    </xdr:to>
    <xdr:cxnSp macro="">
      <xdr:nvCxnSpPr>
        <xdr:cNvPr id="77" name="Прямая соединительная линия 76"/>
        <xdr:cNvCxnSpPr/>
      </xdr:nvCxnSpPr>
      <xdr:spPr>
        <a:xfrm>
          <a:off x="8760764" y="3734003"/>
          <a:ext cx="43511" cy="41072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269875</xdr:colOff>
      <xdr:row>19</xdr:row>
      <xdr:rowOff>155575</xdr:rowOff>
    </xdr:from>
    <xdr:to>
      <xdr:col>14</xdr:col>
      <xdr:colOff>314147</xdr:colOff>
      <xdr:row>20</xdr:row>
      <xdr:rowOff>3860</xdr:rowOff>
    </xdr:to>
    <xdr:cxnSp macro="">
      <xdr:nvCxnSpPr>
        <xdr:cNvPr id="78" name="Прямая соединительная линия 77"/>
        <xdr:cNvCxnSpPr/>
      </xdr:nvCxnSpPr>
      <xdr:spPr>
        <a:xfrm>
          <a:off x="8804275" y="3775075"/>
          <a:ext cx="44272" cy="38785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314147</xdr:colOff>
      <xdr:row>20</xdr:row>
      <xdr:rowOff>3860</xdr:rowOff>
    </xdr:from>
    <xdr:to>
      <xdr:col>14</xdr:col>
      <xdr:colOff>359638</xdr:colOff>
      <xdr:row>20</xdr:row>
      <xdr:rowOff>39903</xdr:rowOff>
    </xdr:to>
    <xdr:cxnSp macro="">
      <xdr:nvCxnSpPr>
        <xdr:cNvPr id="79" name="Прямая соединительная линия 78"/>
        <xdr:cNvCxnSpPr/>
      </xdr:nvCxnSpPr>
      <xdr:spPr>
        <a:xfrm>
          <a:off x="8848547" y="3813860"/>
          <a:ext cx="45491" cy="36043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359638</xdr:colOff>
      <xdr:row>20</xdr:row>
      <xdr:rowOff>39903</xdr:rowOff>
    </xdr:from>
    <xdr:to>
      <xdr:col>14</xdr:col>
      <xdr:colOff>406806</xdr:colOff>
      <xdr:row>20</xdr:row>
      <xdr:rowOff>72745</xdr:rowOff>
    </xdr:to>
    <xdr:cxnSp macro="">
      <xdr:nvCxnSpPr>
        <xdr:cNvPr id="80" name="Прямая соединительная линия 79"/>
        <xdr:cNvCxnSpPr/>
      </xdr:nvCxnSpPr>
      <xdr:spPr>
        <a:xfrm>
          <a:off x="8894038" y="3849903"/>
          <a:ext cx="47168" cy="32842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406806</xdr:colOff>
      <xdr:row>20</xdr:row>
      <xdr:rowOff>72745</xdr:rowOff>
    </xdr:from>
    <xdr:to>
      <xdr:col>14</xdr:col>
      <xdr:colOff>456107</xdr:colOff>
      <xdr:row>20</xdr:row>
      <xdr:rowOff>101930</xdr:rowOff>
    </xdr:to>
    <xdr:cxnSp macro="">
      <xdr:nvCxnSpPr>
        <xdr:cNvPr id="81" name="Прямая соединительная линия 80"/>
        <xdr:cNvCxnSpPr/>
      </xdr:nvCxnSpPr>
      <xdr:spPr>
        <a:xfrm>
          <a:off x="8941206" y="3882745"/>
          <a:ext cx="49301" cy="29185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456107</xdr:colOff>
      <xdr:row>20</xdr:row>
      <xdr:rowOff>101930</xdr:rowOff>
    </xdr:from>
    <xdr:to>
      <xdr:col>14</xdr:col>
      <xdr:colOff>508000</xdr:colOff>
      <xdr:row>20</xdr:row>
      <xdr:rowOff>127000</xdr:rowOff>
    </xdr:to>
    <xdr:cxnSp macro="">
      <xdr:nvCxnSpPr>
        <xdr:cNvPr id="82" name="Прямая соединительная линия 81"/>
        <xdr:cNvCxnSpPr/>
      </xdr:nvCxnSpPr>
      <xdr:spPr>
        <a:xfrm>
          <a:off x="8990507" y="3911930"/>
          <a:ext cx="51893" cy="25070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508000</xdr:colOff>
      <xdr:row>20</xdr:row>
      <xdr:rowOff>74955</xdr:rowOff>
    </xdr:from>
    <xdr:to>
      <xdr:col>14</xdr:col>
      <xdr:colOff>549579</xdr:colOff>
      <xdr:row>20</xdr:row>
      <xdr:rowOff>127000</xdr:rowOff>
    </xdr:to>
    <xdr:cxnSp macro="">
      <xdr:nvCxnSpPr>
        <xdr:cNvPr id="83" name="Прямая соединительная линия 82"/>
        <xdr:cNvCxnSpPr/>
      </xdr:nvCxnSpPr>
      <xdr:spPr>
        <a:xfrm flipV="1">
          <a:off x="9042400" y="3884955"/>
          <a:ext cx="41579" cy="52045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549579</xdr:colOff>
      <xdr:row>20</xdr:row>
      <xdr:rowOff>39827</xdr:rowOff>
    </xdr:from>
    <xdr:to>
      <xdr:col>14</xdr:col>
      <xdr:colOff>596798</xdr:colOff>
      <xdr:row>20</xdr:row>
      <xdr:rowOff>74955</xdr:rowOff>
    </xdr:to>
    <xdr:cxnSp macro="">
      <xdr:nvCxnSpPr>
        <xdr:cNvPr id="84" name="Прямая соединительная линия 83"/>
        <xdr:cNvCxnSpPr/>
      </xdr:nvCxnSpPr>
      <xdr:spPr>
        <a:xfrm flipV="1">
          <a:off x="9083979" y="3849827"/>
          <a:ext cx="47219" cy="35128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596798</xdr:colOff>
      <xdr:row>20</xdr:row>
      <xdr:rowOff>20243</xdr:rowOff>
    </xdr:from>
    <xdr:to>
      <xdr:col>15</xdr:col>
      <xdr:colOff>38074</xdr:colOff>
      <xdr:row>20</xdr:row>
      <xdr:rowOff>39827</xdr:rowOff>
    </xdr:to>
    <xdr:cxnSp macro="">
      <xdr:nvCxnSpPr>
        <xdr:cNvPr id="85" name="Прямая соединительная линия 84"/>
        <xdr:cNvCxnSpPr/>
      </xdr:nvCxnSpPr>
      <xdr:spPr>
        <a:xfrm flipV="1">
          <a:off x="9131198" y="3830243"/>
          <a:ext cx="50876" cy="19584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38074</xdr:colOff>
      <xdr:row>20</xdr:row>
      <xdr:rowOff>14833</xdr:rowOff>
    </xdr:from>
    <xdr:to>
      <xdr:col>15</xdr:col>
      <xdr:colOff>90627</xdr:colOff>
      <xdr:row>20</xdr:row>
      <xdr:rowOff>20243</xdr:rowOff>
    </xdr:to>
    <xdr:cxnSp macro="">
      <xdr:nvCxnSpPr>
        <xdr:cNvPr id="86" name="Прямая соединительная линия 85"/>
        <xdr:cNvCxnSpPr/>
      </xdr:nvCxnSpPr>
      <xdr:spPr>
        <a:xfrm flipV="1">
          <a:off x="9182074" y="3824833"/>
          <a:ext cx="52553" cy="5410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90627</xdr:colOff>
      <xdr:row>20</xdr:row>
      <xdr:rowOff>14833</xdr:rowOff>
    </xdr:from>
    <xdr:to>
      <xdr:col>15</xdr:col>
      <xdr:colOff>142875</xdr:colOff>
      <xdr:row>20</xdr:row>
      <xdr:rowOff>22225</xdr:rowOff>
    </xdr:to>
    <xdr:cxnSp macro="">
      <xdr:nvCxnSpPr>
        <xdr:cNvPr id="87" name="Прямая соединительная линия 86"/>
        <xdr:cNvCxnSpPr/>
      </xdr:nvCxnSpPr>
      <xdr:spPr>
        <a:xfrm>
          <a:off x="9234627" y="3824833"/>
          <a:ext cx="52248" cy="7392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20</xdr:row>
      <xdr:rowOff>22225</xdr:rowOff>
    </xdr:from>
    <xdr:to>
      <xdr:col>15</xdr:col>
      <xdr:colOff>192837</xdr:colOff>
      <xdr:row>20</xdr:row>
      <xdr:rowOff>41046</xdr:rowOff>
    </xdr:to>
    <xdr:cxnSp macro="">
      <xdr:nvCxnSpPr>
        <xdr:cNvPr id="88" name="Прямая соединительная линия 87"/>
        <xdr:cNvCxnSpPr/>
      </xdr:nvCxnSpPr>
      <xdr:spPr>
        <a:xfrm>
          <a:off x="9286875" y="3832225"/>
          <a:ext cx="49962" cy="18821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192837</xdr:colOff>
      <xdr:row>20</xdr:row>
      <xdr:rowOff>41046</xdr:rowOff>
    </xdr:from>
    <xdr:to>
      <xdr:col>15</xdr:col>
      <xdr:colOff>238531</xdr:colOff>
      <xdr:row>20</xdr:row>
      <xdr:rowOff>69926</xdr:rowOff>
    </xdr:to>
    <xdr:cxnSp macro="">
      <xdr:nvCxnSpPr>
        <xdr:cNvPr id="89" name="Прямая соединительная линия 88"/>
        <xdr:cNvCxnSpPr/>
      </xdr:nvCxnSpPr>
      <xdr:spPr>
        <a:xfrm>
          <a:off x="9336837" y="3851046"/>
          <a:ext cx="45694" cy="28880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238531</xdr:colOff>
      <xdr:row>20</xdr:row>
      <xdr:rowOff>69926</xdr:rowOff>
    </xdr:from>
    <xdr:to>
      <xdr:col>15</xdr:col>
      <xdr:colOff>277977</xdr:colOff>
      <xdr:row>20</xdr:row>
      <xdr:rowOff>107492</xdr:rowOff>
    </xdr:to>
    <xdr:cxnSp macro="">
      <xdr:nvCxnSpPr>
        <xdr:cNvPr id="90" name="Прямая соединительная линия 89"/>
        <xdr:cNvCxnSpPr/>
      </xdr:nvCxnSpPr>
      <xdr:spPr>
        <a:xfrm>
          <a:off x="9382531" y="3879926"/>
          <a:ext cx="39446" cy="37566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277977</xdr:colOff>
      <xdr:row>20</xdr:row>
      <xdr:rowOff>107492</xdr:rowOff>
    </xdr:from>
    <xdr:to>
      <xdr:col>15</xdr:col>
      <xdr:colOff>309194</xdr:colOff>
      <xdr:row>20</xdr:row>
      <xdr:rowOff>152374</xdr:rowOff>
    </xdr:to>
    <xdr:cxnSp macro="">
      <xdr:nvCxnSpPr>
        <xdr:cNvPr id="91" name="Прямая соединительная линия 90"/>
        <xdr:cNvCxnSpPr/>
      </xdr:nvCxnSpPr>
      <xdr:spPr>
        <a:xfrm>
          <a:off x="9421977" y="3917492"/>
          <a:ext cx="31217" cy="44882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309194</xdr:colOff>
      <xdr:row>20</xdr:row>
      <xdr:rowOff>152374</xdr:rowOff>
    </xdr:from>
    <xdr:to>
      <xdr:col>15</xdr:col>
      <xdr:colOff>330200</xdr:colOff>
      <xdr:row>21</xdr:row>
      <xdr:rowOff>12700</xdr:rowOff>
    </xdr:to>
    <xdr:cxnSp macro="">
      <xdr:nvCxnSpPr>
        <xdr:cNvPr id="92" name="Прямая соединительная линия 91"/>
        <xdr:cNvCxnSpPr/>
      </xdr:nvCxnSpPr>
      <xdr:spPr>
        <a:xfrm>
          <a:off x="9453194" y="3962374"/>
          <a:ext cx="21006" cy="50826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330200</xdr:colOff>
      <xdr:row>20</xdr:row>
      <xdr:rowOff>91617</xdr:rowOff>
    </xdr:from>
    <xdr:to>
      <xdr:col>15</xdr:col>
      <xdr:colOff>461441</xdr:colOff>
      <xdr:row>21</xdr:row>
      <xdr:rowOff>12700</xdr:rowOff>
    </xdr:to>
    <xdr:cxnSp macro="">
      <xdr:nvCxnSpPr>
        <xdr:cNvPr id="93" name="Прямая соединительная линия 92"/>
        <xdr:cNvCxnSpPr/>
      </xdr:nvCxnSpPr>
      <xdr:spPr>
        <a:xfrm flipV="1">
          <a:off x="9474200" y="3901617"/>
          <a:ext cx="131241" cy="111583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461441</xdr:colOff>
      <xdr:row>20</xdr:row>
      <xdr:rowOff>26822</xdr:rowOff>
    </xdr:from>
    <xdr:to>
      <xdr:col>15</xdr:col>
      <xdr:colOff>593750</xdr:colOff>
      <xdr:row>20</xdr:row>
      <xdr:rowOff>91617</xdr:rowOff>
    </xdr:to>
    <xdr:cxnSp macro="">
      <xdr:nvCxnSpPr>
        <xdr:cNvPr id="94" name="Прямая соединительная линия 93"/>
        <xdr:cNvCxnSpPr/>
      </xdr:nvCxnSpPr>
      <xdr:spPr>
        <a:xfrm flipV="1">
          <a:off x="9605441" y="3836822"/>
          <a:ext cx="132309" cy="64795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593750</xdr:colOff>
      <xdr:row>20</xdr:row>
      <xdr:rowOff>2260</xdr:rowOff>
    </xdr:from>
    <xdr:to>
      <xdr:col>16</xdr:col>
      <xdr:colOff>114020</xdr:colOff>
      <xdr:row>20</xdr:row>
      <xdr:rowOff>26822</xdr:rowOff>
    </xdr:to>
    <xdr:cxnSp macro="">
      <xdr:nvCxnSpPr>
        <xdr:cNvPr id="95" name="Прямая соединительная линия 94"/>
        <xdr:cNvCxnSpPr/>
      </xdr:nvCxnSpPr>
      <xdr:spPr>
        <a:xfrm flipV="1">
          <a:off x="9737750" y="3812260"/>
          <a:ext cx="129870" cy="24562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114020</xdr:colOff>
      <xdr:row>20</xdr:row>
      <xdr:rowOff>2260</xdr:rowOff>
    </xdr:from>
    <xdr:to>
      <xdr:col>16</xdr:col>
      <xdr:colOff>237947</xdr:colOff>
      <xdr:row>20</xdr:row>
      <xdr:rowOff>11379</xdr:rowOff>
    </xdr:to>
    <xdr:cxnSp macro="">
      <xdr:nvCxnSpPr>
        <xdr:cNvPr id="96" name="Прямая соединительная линия 95"/>
        <xdr:cNvCxnSpPr/>
      </xdr:nvCxnSpPr>
      <xdr:spPr>
        <a:xfrm>
          <a:off x="9867620" y="3812260"/>
          <a:ext cx="123927" cy="9119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237947</xdr:colOff>
      <xdr:row>20</xdr:row>
      <xdr:rowOff>11379</xdr:rowOff>
    </xdr:from>
    <xdr:to>
      <xdr:col>16</xdr:col>
      <xdr:colOff>352425</xdr:colOff>
      <xdr:row>20</xdr:row>
      <xdr:rowOff>47625</xdr:rowOff>
    </xdr:to>
    <xdr:cxnSp macro="">
      <xdr:nvCxnSpPr>
        <xdr:cNvPr id="97" name="Прямая соединительная линия 96"/>
        <xdr:cNvCxnSpPr/>
      </xdr:nvCxnSpPr>
      <xdr:spPr>
        <a:xfrm>
          <a:off x="9991547" y="3821379"/>
          <a:ext cx="114478" cy="36246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352425</xdr:colOff>
      <xdr:row>20</xdr:row>
      <xdr:rowOff>47625</xdr:rowOff>
    </xdr:from>
    <xdr:to>
      <xdr:col>16</xdr:col>
      <xdr:colOff>453949</xdr:colOff>
      <xdr:row>20</xdr:row>
      <xdr:rowOff>104444</xdr:rowOff>
    </xdr:to>
    <xdr:cxnSp macro="">
      <xdr:nvCxnSpPr>
        <xdr:cNvPr id="98" name="Прямая соединительная линия 97"/>
        <xdr:cNvCxnSpPr/>
      </xdr:nvCxnSpPr>
      <xdr:spPr>
        <a:xfrm>
          <a:off x="10106025" y="3857625"/>
          <a:ext cx="101524" cy="56819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453949</xdr:colOff>
      <xdr:row>20</xdr:row>
      <xdr:rowOff>104444</xdr:rowOff>
    </xdr:from>
    <xdr:to>
      <xdr:col>16</xdr:col>
      <xdr:colOff>539013</xdr:colOff>
      <xdr:row>20</xdr:row>
      <xdr:rowOff>175285</xdr:rowOff>
    </xdr:to>
    <xdr:cxnSp macro="">
      <xdr:nvCxnSpPr>
        <xdr:cNvPr id="99" name="Прямая соединительная линия 98"/>
        <xdr:cNvCxnSpPr/>
      </xdr:nvCxnSpPr>
      <xdr:spPr>
        <a:xfrm>
          <a:off x="10207549" y="3914444"/>
          <a:ext cx="85064" cy="70841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539013</xdr:colOff>
      <xdr:row>20</xdr:row>
      <xdr:rowOff>175285</xdr:rowOff>
    </xdr:from>
    <xdr:to>
      <xdr:col>16</xdr:col>
      <xdr:colOff>604113</xdr:colOff>
      <xdr:row>21</xdr:row>
      <xdr:rowOff>63093</xdr:rowOff>
    </xdr:to>
    <xdr:cxnSp macro="">
      <xdr:nvCxnSpPr>
        <xdr:cNvPr id="100" name="Прямая соединительная линия 99"/>
        <xdr:cNvCxnSpPr/>
      </xdr:nvCxnSpPr>
      <xdr:spPr>
        <a:xfrm>
          <a:off x="10292613" y="3985285"/>
          <a:ext cx="65100" cy="78308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604113</xdr:colOff>
      <xdr:row>21</xdr:row>
      <xdr:rowOff>63093</xdr:rowOff>
    </xdr:from>
    <xdr:to>
      <xdr:col>17</xdr:col>
      <xdr:colOff>36144</xdr:colOff>
      <xdr:row>21</xdr:row>
      <xdr:rowOff>142316</xdr:rowOff>
    </xdr:to>
    <xdr:cxnSp macro="">
      <xdr:nvCxnSpPr>
        <xdr:cNvPr id="101" name="Прямая соединительная линия 100"/>
        <xdr:cNvCxnSpPr/>
      </xdr:nvCxnSpPr>
      <xdr:spPr>
        <a:xfrm>
          <a:off x="10357713" y="4063593"/>
          <a:ext cx="41631" cy="79223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36144</xdr:colOff>
      <xdr:row>21</xdr:row>
      <xdr:rowOff>142316</xdr:rowOff>
    </xdr:from>
    <xdr:to>
      <xdr:col>17</xdr:col>
      <xdr:colOff>50800</xdr:colOff>
      <xdr:row>22</xdr:row>
      <xdr:rowOff>25400</xdr:rowOff>
    </xdr:to>
    <xdr:cxnSp macro="">
      <xdr:nvCxnSpPr>
        <xdr:cNvPr id="102" name="Прямая соединительная линия 101"/>
        <xdr:cNvCxnSpPr/>
      </xdr:nvCxnSpPr>
      <xdr:spPr>
        <a:xfrm>
          <a:off x="10399344" y="4142816"/>
          <a:ext cx="14656" cy="73584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7"/>
  <dimension ref="A1:T76"/>
  <sheetViews>
    <sheetView workbookViewId="0"/>
  </sheetViews>
  <sheetFormatPr defaultColWidth="0" defaultRowHeight="15" customHeight="1" zeroHeight="1"/>
  <cols>
    <col min="1" max="20" width="9.140625" customWidth="1"/>
    <col min="21" max="16384" width="9.140625" hidden="1"/>
  </cols>
  <sheetData>
    <row r="1" spans="1:10">
      <c r="A1" t="s">
        <v>78</v>
      </c>
      <c r="C1" t="s">
        <v>79</v>
      </c>
    </row>
    <row r="2" spans="1:10"/>
    <row r="3" spans="1:10"/>
    <row r="4" spans="1:10"/>
    <row r="5" spans="1:10"/>
    <row r="6" spans="1:10">
      <c r="G6" s="7" t="s">
        <v>74</v>
      </c>
      <c r="H6" s="7" t="s">
        <v>75</v>
      </c>
      <c r="I6" s="7" t="s">
        <v>76</v>
      </c>
      <c r="J6" s="7" t="s">
        <v>77</v>
      </c>
    </row>
    <row r="7" spans="1:10">
      <c r="F7" s="8" t="s">
        <v>55</v>
      </c>
      <c r="G7">
        <f>C11</f>
        <v>2.1</v>
      </c>
      <c r="H7">
        <f>C13</f>
        <v>5.3</v>
      </c>
      <c r="I7">
        <f>C14</f>
        <v>54</v>
      </c>
      <c r="J7">
        <f>C15</f>
        <v>190</v>
      </c>
    </row>
    <row r="8" spans="1:10">
      <c r="F8" s="8" t="s">
        <v>56</v>
      </c>
      <c r="G8">
        <f>D11</f>
        <v>64</v>
      </c>
      <c r="H8">
        <f>D13</f>
        <v>42</v>
      </c>
      <c r="I8">
        <f>D14</f>
        <v>-41</v>
      </c>
      <c r="J8">
        <f>D15</f>
        <v>97</v>
      </c>
    </row>
    <row r="9" spans="1:10">
      <c r="F9" s="5" t="s">
        <v>55</v>
      </c>
      <c r="G9">
        <f t="shared" ref="G9:G16" si="0">J7</f>
        <v>190</v>
      </c>
      <c r="H9">
        <f>C16</f>
        <v>210</v>
      </c>
      <c r="I9">
        <f>C17</f>
        <v>350</v>
      </c>
      <c r="J9">
        <f>C18</f>
        <v>380</v>
      </c>
    </row>
    <row r="10" spans="1:10">
      <c r="B10" s="5" t="s">
        <v>57</v>
      </c>
      <c r="C10" t="s">
        <v>57</v>
      </c>
      <c r="F10" s="5" t="s">
        <v>56</v>
      </c>
      <c r="G10">
        <f t="shared" si="0"/>
        <v>97</v>
      </c>
      <c r="H10">
        <f>D16</f>
        <v>39</v>
      </c>
      <c r="I10">
        <f>D17</f>
        <v>-5.7</v>
      </c>
      <c r="J10">
        <f>D18</f>
        <v>150</v>
      </c>
    </row>
    <row r="11" spans="1:10">
      <c r="B11" s="5" t="s">
        <v>61</v>
      </c>
      <c r="C11">
        <v>2.1</v>
      </c>
      <c r="D11">
        <v>64</v>
      </c>
      <c r="E11" s="15"/>
      <c r="F11" s="8" t="s">
        <v>55</v>
      </c>
      <c r="G11">
        <f t="shared" si="0"/>
        <v>380</v>
      </c>
      <c r="H11">
        <f>$G11+C20</f>
        <v>440</v>
      </c>
      <c r="I11">
        <f>$G11+C21</f>
        <v>490</v>
      </c>
      <c r="J11">
        <f>$G11+C22</f>
        <v>560</v>
      </c>
    </row>
    <row r="12" spans="1:10">
      <c r="B12" s="5" t="s">
        <v>58</v>
      </c>
      <c r="C12" t="s">
        <v>58</v>
      </c>
      <c r="E12" s="16"/>
      <c r="F12" s="8" t="s">
        <v>56</v>
      </c>
      <c r="G12">
        <f t="shared" si="0"/>
        <v>150</v>
      </c>
      <c r="H12">
        <f>$G12+D20</f>
        <v>210</v>
      </c>
      <c r="I12">
        <f>$G12+D21</f>
        <v>270</v>
      </c>
      <c r="J12">
        <f>$G12+D22</f>
        <v>300</v>
      </c>
    </row>
    <row r="13" spans="1:10">
      <c r="B13" s="5" t="s">
        <v>62</v>
      </c>
      <c r="C13">
        <v>5.3</v>
      </c>
      <c r="D13">
        <v>42</v>
      </c>
      <c r="E13" s="16"/>
      <c r="F13" s="5" t="s">
        <v>55</v>
      </c>
      <c r="G13">
        <f t="shared" si="0"/>
        <v>560</v>
      </c>
      <c r="H13">
        <f>$G13+C23</f>
        <v>610</v>
      </c>
      <c r="I13">
        <f>$G13+C24</f>
        <v>710</v>
      </c>
      <c r="J13">
        <f>$G13+C25</f>
        <v>730</v>
      </c>
    </row>
    <row r="14" spans="1:10">
      <c r="B14" s="5" t="s">
        <v>63</v>
      </c>
      <c r="C14">
        <v>54</v>
      </c>
      <c r="D14">
        <v>-41</v>
      </c>
      <c r="E14" s="16"/>
      <c r="F14" s="5" t="s">
        <v>56</v>
      </c>
      <c r="G14">
        <f t="shared" si="0"/>
        <v>300</v>
      </c>
      <c r="H14">
        <f>$G14+D23</f>
        <v>220</v>
      </c>
      <c r="I14">
        <f>$G14+D24</f>
        <v>260</v>
      </c>
      <c r="J14">
        <f>$G14+D25</f>
        <v>330</v>
      </c>
    </row>
    <row r="15" spans="1:10">
      <c r="B15" s="5" t="s">
        <v>64</v>
      </c>
      <c r="C15">
        <v>190</v>
      </c>
      <c r="D15">
        <v>97</v>
      </c>
      <c r="E15" s="17"/>
      <c r="F15" s="8" t="s">
        <v>55</v>
      </c>
      <c r="G15">
        <f t="shared" si="0"/>
        <v>730</v>
      </c>
      <c r="H15">
        <f>$G15+C26</f>
        <v>900</v>
      </c>
      <c r="I15">
        <f>$G15+C27</f>
        <v>1100</v>
      </c>
      <c r="J15">
        <f>$G15+C28</f>
        <v>1100</v>
      </c>
    </row>
    <row r="16" spans="1:10">
      <c r="B16" s="5" t="s">
        <v>65</v>
      </c>
      <c r="C16">
        <v>210</v>
      </c>
      <c r="D16">
        <v>39</v>
      </c>
      <c r="E16" s="9"/>
      <c r="F16" s="8" t="s">
        <v>56</v>
      </c>
      <c r="G16">
        <f t="shared" si="0"/>
        <v>330</v>
      </c>
      <c r="H16">
        <f>$G16+D26</f>
        <v>150</v>
      </c>
      <c r="I16">
        <f>$G16+D27</f>
        <v>320</v>
      </c>
      <c r="J16">
        <f>$G16+D28</f>
        <v>410</v>
      </c>
    </row>
    <row r="17" spans="2:8">
      <c r="B17" s="5" t="s">
        <v>66</v>
      </c>
      <c r="C17">
        <v>350</v>
      </c>
      <c r="D17">
        <v>-5.7</v>
      </c>
      <c r="E17" s="10"/>
    </row>
    <row r="18" spans="2:8">
      <c r="B18" s="6">
        <v>380150</v>
      </c>
      <c r="C18">
        <v>380</v>
      </c>
      <c r="D18">
        <v>150</v>
      </c>
      <c r="E18" s="11"/>
    </row>
    <row r="19" spans="2:8">
      <c r="B19" s="5" t="s">
        <v>59</v>
      </c>
      <c r="C19" t="s">
        <v>59</v>
      </c>
    </row>
    <row r="20" spans="2:8">
      <c r="B20" s="5" t="s">
        <v>67</v>
      </c>
      <c r="C20">
        <v>60</v>
      </c>
      <c r="D20">
        <v>60</v>
      </c>
      <c r="E20" s="1"/>
      <c r="F20" s="1">
        <v>0</v>
      </c>
      <c r="G20" s="4">
        <f>mLib.Bezier(G$7,H$7,I$7,J$7,$F20)</f>
        <v>2.1</v>
      </c>
      <c r="H20" s="4">
        <f>mLib.Bezier(G$8,H$8,I$8,J$8,$F20)</f>
        <v>64</v>
      </c>
    </row>
    <row r="21" spans="2:8">
      <c r="B21" s="6">
        <v>110120</v>
      </c>
      <c r="C21">
        <v>110</v>
      </c>
      <c r="D21">
        <v>120</v>
      </c>
      <c r="E21" s="1"/>
      <c r="F21" s="1">
        <v>0.1</v>
      </c>
      <c r="G21" s="4">
        <f t="shared" ref="G21:G30" si="1">mLib.Bezier(G$7,H$7,I$7,J$7,$F21)</f>
        <v>4.466800000000001</v>
      </c>
      <c r="H21" s="4">
        <f t="shared" ref="H21:H30" si="2">mLib.Bezier(G$8,H$8,I$8,J$8,$F21)</f>
        <v>55.852000000000004</v>
      </c>
    </row>
    <row r="22" spans="2:8">
      <c r="B22" s="6">
        <v>180150</v>
      </c>
      <c r="C22">
        <v>180</v>
      </c>
      <c r="D22">
        <v>150</v>
      </c>
      <c r="E22" s="1"/>
      <c r="F22" s="1">
        <v>0.2</v>
      </c>
      <c r="G22" s="4">
        <f t="shared" si="1"/>
        <v>9.8144000000000027</v>
      </c>
      <c r="H22" s="4">
        <f t="shared" si="2"/>
        <v>45.736000000000011</v>
      </c>
    </row>
    <row r="23" spans="2:8">
      <c r="B23" s="5" t="s">
        <v>68</v>
      </c>
      <c r="C23">
        <v>50</v>
      </c>
      <c r="D23">
        <v>-80</v>
      </c>
      <c r="F23" s="1">
        <v>0.3</v>
      </c>
      <c r="G23" s="4">
        <f t="shared" si="1"/>
        <v>18.393599999999996</v>
      </c>
      <c r="H23" s="4">
        <f t="shared" si="2"/>
        <v>35.343999999999994</v>
      </c>
    </row>
    <row r="24" spans="2:8">
      <c r="B24" s="5" t="s">
        <v>69</v>
      </c>
      <c r="C24">
        <v>150</v>
      </c>
      <c r="D24">
        <v>-40</v>
      </c>
      <c r="F24" s="1">
        <v>0.4</v>
      </c>
      <c r="G24" s="4">
        <f t="shared" si="1"/>
        <v>30.455200000000001</v>
      </c>
      <c r="H24" s="4">
        <f t="shared" si="2"/>
        <v>26.367999999999999</v>
      </c>
    </row>
    <row r="25" spans="2:8">
      <c r="B25" s="5" t="s">
        <v>70</v>
      </c>
      <c r="C25">
        <v>170</v>
      </c>
      <c r="D25">
        <v>30</v>
      </c>
      <c r="F25" s="1">
        <v>0.5</v>
      </c>
      <c r="G25" s="4">
        <f t="shared" si="1"/>
        <v>46.25</v>
      </c>
      <c r="H25" s="4">
        <f t="shared" si="2"/>
        <v>20.5</v>
      </c>
    </row>
    <row r="26" spans="2:8">
      <c r="B26" s="5" t="s">
        <v>71</v>
      </c>
      <c r="C26">
        <v>170</v>
      </c>
      <c r="D26">
        <v>-180</v>
      </c>
      <c r="E26" s="1"/>
      <c r="F26" s="1">
        <v>0.6</v>
      </c>
      <c r="G26" s="4">
        <f t="shared" si="1"/>
        <v>66.02879999999999</v>
      </c>
      <c r="H26" s="4">
        <f t="shared" si="2"/>
        <v>19.432000000000002</v>
      </c>
    </row>
    <row r="27" spans="2:8">
      <c r="B27" s="5" t="s">
        <v>72</v>
      </c>
      <c r="C27">
        <v>370</v>
      </c>
      <c r="D27">
        <v>-10</v>
      </c>
      <c r="E27" s="1"/>
      <c r="F27" s="1">
        <v>0.7</v>
      </c>
      <c r="G27" s="4">
        <f t="shared" si="1"/>
        <v>90.042399999999986</v>
      </c>
      <c r="H27" s="4">
        <f t="shared" si="2"/>
        <v>24.855999999999995</v>
      </c>
    </row>
    <row r="28" spans="2:8">
      <c r="B28" s="6" t="s">
        <v>73</v>
      </c>
      <c r="C28">
        <v>370</v>
      </c>
      <c r="D28">
        <v>80</v>
      </c>
      <c r="E28" s="1"/>
      <c r="F28" s="1">
        <v>0.8</v>
      </c>
      <c r="G28" s="4">
        <f t="shared" si="1"/>
        <v>118.54160000000002</v>
      </c>
      <c r="H28" s="4">
        <f t="shared" si="2"/>
        <v>38.464000000000006</v>
      </c>
    </row>
    <row r="29" spans="2:8">
      <c r="F29" s="1">
        <v>0.9</v>
      </c>
      <c r="G29" s="4">
        <f t="shared" si="1"/>
        <v>151.77720000000002</v>
      </c>
      <c r="H29" s="4">
        <f t="shared" si="2"/>
        <v>61.948000000000008</v>
      </c>
    </row>
    <row r="30" spans="2:8">
      <c r="F30" s="1">
        <v>1</v>
      </c>
      <c r="G30" s="4">
        <f t="shared" si="1"/>
        <v>190</v>
      </c>
      <c r="H30" s="4">
        <f t="shared" si="2"/>
        <v>97</v>
      </c>
    </row>
    <row r="31" spans="2:8">
      <c r="F31">
        <v>0</v>
      </c>
      <c r="G31" s="4">
        <f>mLib.Bezier(G$9,H$9,I$9,J$9,$F31)</f>
        <v>190</v>
      </c>
      <c r="H31" s="4">
        <f>mLib.Bezier(G$10,H$10,I$10,J$10,$F31)</f>
        <v>97</v>
      </c>
    </row>
    <row r="32" spans="2:8">
      <c r="F32">
        <v>0.1</v>
      </c>
      <c r="G32" s="4">
        <f t="shared" ref="G32:G41" si="3">mLib.Bezier(G$9,H$9,I$9,J$9,$F32)</f>
        <v>199.37000000000003</v>
      </c>
      <c r="H32" s="4">
        <f t="shared" ref="H32:H41" si="4">mLib.Bezier(G$10,H$10,I$10,J$10,$F32)</f>
        <v>80.18610000000001</v>
      </c>
    </row>
    <row r="33" spans="5:8">
      <c r="F33">
        <v>0.2</v>
      </c>
      <c r="G33" s="4">
        <f t="shared" si="3"/>
        <v>214.56000000000006</v>
      </c>
      <c r="H33" s="4">
        <f t="shared" si="4"/>
        <v>65.292800000000014</v>
      </c>
    </row>
    <row r="34" spans="5:8">
      <c r="F34">
        <v>0.3</v>
      </c>
      <c r="G34" s="4">
        <f t="shared" si="3"/>
        <v>234.18999999999997</v>
      </c>
      <c r="H34" s="4">
        <f t="shared" si="4"/>
        <v>53.442699999999988</v>
      </c>
    </row>
    <row r="35" spans="5:8">
      <c r="F35">
        <v>0.4</v>
      </c>
      <c r="G35" s="4">
        <f t="shared" si="3"/>
        <v>256.88</v>
      </c>
      <c r="H35" s="4">
        <f t="shared" si="4"/>
        <v>45.758400000000002</v>
      </c>
    </row>
    <row r="36" spans="5:8">
      <c r="F36">
        <v>0.5</v>
      </c>
      <c r="G36" s="4">
        <f t="shared" si="3"/>
        <v>281.25</v>
      </c>
      <c r="H36" s="4">
        <f t="shared" si="4"/>
        <v>43.362499999999997</v>
      </c>
    </row>
    <row r="37" spans="5:8">
      <c r="F37">
        <v>0.6</v>
      </c>
      <c r="G37" s="4">
        <f t="shared" si="3"/>
        <v>305.92</v>
      </c>
      <c r="H37" s="4">
        <f t="shared" si="4"/>
        <v>47.377600000000001</v>
      </c>
    </row>
    <row r="38" spans="5:8">
      <c r="F38">
        <v>0.7</v>
      </c>
      <c r="G38" s="4">
        <f t="shared" si="3"/>
        <v>329.51</v>
      </c>
      <c r="H38" s="4">
        <f t="shared" si="4"/>
        <v>58.926299999999991</v>
      </c>
    </row>
    <row r="39" spans="5:8">
      <c r="F39">
        <v>0.8</v>
      </c>
      <c r="G39" s="4">
        <f t="shared" si="3"/>
        <v>350.64</v>
      </c>
      <c r="H39" s="4">
        <f t="shared" si="4"/>
        <v>79.131200000000007</v>
      </c>
    </row>
    <row r="40" spans="5:8">
      <c r="F40">
        <v>0.9</v>
      </c>
      <c r="G40" s="4">
        <f t="shared" si="3"/>
        <v>367.93</v>
      </c>
      <c r="H40" s="4">
        <f t="shared" si="4"/>
        <v>109.11490000000001</v>
      </c>
    </row>
    <row r="41" spans="5:8">
      <c r="F41">
        <v>1</v>
      </c>
      <c r="G41" s="4">
        <f t="shared" si="3"/>
        <v>380</v>
      </c>
      <c r="H41" s="4">
        <f t="shared" si="4"/>
        <v>150</v>
      </c>
    </row>
    <row r="42" spans="5:8">
      <c r="E42" s="12">
        <v>3</v>
      </c>
      <c r="F42" s="1">
        <v>0</v>
      </c>
      <c r="G42" s="4">
        <f>mLib.Bezier(G$11,H$11,I$11,J$11,$F42)</f>
        <v>380</v>
      </c>
      <c r="H42" s="4">
        <f>mLib.Bezier(G$12,H$12,I$12,J$12,$F42)</f>
        <v>150</v>
      </c>
    </row>
    <row r="43" spans="5:8">
      <c r="E43" s="13"/>
      <c r="F43" s="1">
        <v>0.1</v>
      </c>
      <c r="G43" s="4">
        <f t="shared" ref="G43:G52" si="5">mLib.Bezier(G$11,H$11,I$11,J$11,$F43)</f>
        <v>397.73000000000008</v>
      </c>
      <c r="H43" s="4">
        <f t="shared" ref="H43:H52" si="6">mLib.Bezier(G$12,H$12,I$12,J$12,$F43)</f>
        <v>167.97000000000003</v>
      </c>
    </row>
    <row r="44" spans="5:8">
      <c r="E44" s="13"/>
      <c r="F44" s="1">
        <v>0.2</v>
      </c>
      <c r="G44" s="4">
        <f t="shared" si="5"/>
        <v>415.04000000000008</v>
      </c>
      <c r="H44" s="4">
        <f t="shared" si="6"/>
        <v>185.76000000000005</v>
      </c>
    </row>
    <row r="45" spans="5:8">
      <c r="E45" s="13"/>
      <c r="F45" s="1">
        <v>0.3</v>
      </c>
      <c r="G45" s="4">
        <f t="shared" si="5"/>
        <v>432.1099999999999</v>
      </c>
      <c r="H45" s="4">
        <f t="shared" si="6"/>
        <v>203.18999999999997</v>
      </c>
    </row>
    <row r="46" spans="5:8">
      <c r="E46" s="13"/>
      <c r="F46" s="1">
        <v>0.4</v>
      </c>
      <c r="G46" s="4">
        <f t="shared" si="5"/>
        <v>449.12</v>
      </c>
      <c r="H46" s="4">
        <f t="shared" si="6"/>
        <v>220.08</v>
      </c>
    </row>
    <row r="47" spans="5:8">
      <c r="E47" s="13"/>
      <c r="F47" s="1">
        <v>0.5</v>
      </c>
      <c r="G47" s="4">
        <f t="shared" si="5"/>
        <v>466.25</v>
      </c>
      <c r="H47" s="4">
        <f t="shared" si="6"/>
        <v>236.25</v>
      </c>
    </row>
    <row r="48" spans="5:8">
      <c r="E48" s="13"/>
      <c r="F48" s="1">
        <v>0.6</v>
      </c>
      <c r="G48" s="4">
        <f t="shared" si="5"/>
        <v>483.68</v>
      </c>
      <c r="H48" s="4">
        <f t="shared" si="6"/>
        <v>251.52</v>
      </c>
    </row>
    <row r="49" spans="5:8">
      <c r="E49" s="13"/>
      <c r="F49" s="1">
        <v>0.7</v>
      </c>
      <c r="G49" s="4">
        <f t="shared" si="5"/>
        <v>501.59</v>
      </c>
      <c r="H49" s="4">
        <f t="shared" si="6"/>
        <v>265.70999999999998</v>
      </c>
    </row>
    <row r="50" spans="5:8">
      <c r="E50" s="13"/>
      <c r="F50" s="1">
        <v>0.8</v>
      </c>
      <c r="G50" s="4">
        <f t="shared" si="5"/>
        <v>520.16</v>
      </c>
      <c r="H50" s="4">
        <f t="shared" si="6"/>
        <v>278.64</v>
      </c>
    </row>
    <row r="51" spans="5:8">
      <c r="E51" s="13"/>
      <c r="F51" s="1">
        <v>0.9</v>
      </c>
      <c r="G51" s="4">
        <f t="shared" si="5"/>
        <v>539.57000000000005</v>
      </c>
      <c r="H51" s="4">
        <f t="shared" si="6"/>
        <v>290.13</v>
      </c>
    </row>
    <row r="52" spans="5:8">
      <c r="E52" s="14"/>
      <c r="F52" s="1">
        <v>1</v>
      </c>
      <c r="G52" s="4">
        <f t="shared" si="5"/>
        <v>560</v>
      </c>
      <c r="H52" s="4">
        <f t="shared" si="6"/>
        <v>300</v>
      </c>
    </row>
    <row r="53" spans="5:8">
      <c r="F53">
        <v>0</v>
      </c>
      <c r="G53" s="4">
        <f>mLib.Bezier(G$13,H$13,I$13,J$13,$F53)</f>
        <v>560</v>
      </c>
      <c r="H53" s="4">
        <f>mLib.Bezier(G$14,H$14,I$14,J$14,$F53)</f>
        <v>300</v>
      </c>
    </row>
    <row r="54" spans="5:8">
      <c r="F54">
        <v>0.1</v>
      </c>
      <c r="G54" s="4">
        <f t="shared" ref="G54:G63" si="7">mLib.Bezier(G$13,H$13,I$13,J$13,$F54)</f>
        <v>576.37000000000012</v>
      </c>
      <c r="H54" s="4">
        <f t="shared" ref="H54:H63" si="8">mLib.Bezier(G$14,H$14,I$14,J$14,$F54)</f>
        <v>279.51000000000005</v>
      </c>
    </row>
    <row r="55" spans="5:8">
      <c r="F55">
        <v>0.2</v>
      </c>
      <c r="G55" s="4">
        <f t="shared" si="7"/>
        <v>594.96000000000015</v>
      </c>
      <c r="H55" s="4">
        <f t="shared" si="8"/>
        <v>265.68000000000006</v>
      </c>
    </row>
    <row r="56" spans="5:8">
      <c r="F56">
        <v>0.3</v>
      </c>
      <c r="G56" s="4">
        <f t="shared" si="7"/>
        <v>614.9899999999999</v>
      </c>
      <c r="H56" s="4">
        <f t="shared" si="8"/>
        <v>257.96999999999997</v>
      </c>
    </row>
    <row r="57" spans="5:8">
      <c r="F57">
        <v>0.4</v>
      </c>
      <c r="G57" s="4">
        <f t="shared" si="7"/>
        <v>635.68000000000006</v>
      </c>
      <c r="H57" s="4">
        <f t="shared" si="8"/>
        <v>255.84</v>
      </c>
    </row>
    <row r="58" spans="5:8">
      <c r="F58">
        <v>0.5</v>
      </c>
      <c r="G58" s="4">
        <f t="shared" si="7"/>
        <v>656.25</v>
      </c>
      <c r="H58" s="4">
        <f t="shared" si="8"/>
        <v>258.75</v>
      </c>
    </row>
    <row r="59" spans="5:8">
      <c r="F59">
        <v>0.6</v>
      </c>
      <c r="G59" s="4">
        <f t="shared" si="7"/>
        <v>675.92</v>
      </c>
      <c r="H59" s="4">
        <f t="shared" si="8"/>
        <v>266.16000000000003</v>
      </c>
    </row>
    <row r="60" spans="5:8">
      <c r="F60">
        <v>0.7</v>
      </c>
      <c r="G60" s="4">
        <f t="shared" si="7"/>
        <v>693.91</v>
      </c>
      <c r="H60" s="4">
        <f t="shared" si="8"/>
        <v>277.52999999999997</v>
      </c>
    </row>
    <row r="61" spans="5:8">
      <c r="F61">
        <v>0.8</v>
      </c>
      <c r="G61" s="4">
        <f t="shared" si="7"/>
        <v>709.44</v>
      </c>
      <c r="H61" s="4">
        <f t="shared" si="8"/>
        <v>292.32</v>
      </c>
    </row>
    <row r="62" spans="5:8">
      <c r="F62">
        <v>0.9</v>
      </c>
      <c r="G62" s="4">
        <f t="shared" si="7"/>
        <v>721.73</v>
      </c>
      <c r="H62" s="4">
        <f t="shared" si="8"/>
        <v>309.99</v>
      </c>
    </row>
    <row r="63" spans="5:8">
      <c r="F63">
        <v>1</v>
      </c>
      <c r="G63" s="4">
        <f t="shared" si="7"/>
        <v>730</v>
      </c>
      <c r="H63" s="4">
        <f t="shared" si="8"/>
        <v>330</v>
      </c>
    </row>
    <row r="64" spans="5:8">
      <c r="E64" s="12">
        <v>5</v>
      </c>
      <c r="F64" s="1">
        <v>0</v>
      </c>
      <c r="G64" s="4">
        <f>mLib.Bezier(G$15,H$15,I$15,J$15,$F64)</f>
        <v>730</v>
      </c>
      <c r="H64" s="4">
        <f>mLib.Bezier(G$16,H$16,I$16,J$16,$F64)</f>
        <v>330</v>
      </c>
    </row>
    <row r="65" spans="5:8">
      <c r="E65" s="13"/>
      <c r="F65" s="1">
        <v>0.1</v>
      </c>
      <c r="G65" s="4">
        <f t="shared" ref="G65:G74" si="9">mLib.Bezier(G$15,H$15,I$15,J$15,$F65)</f>
        <v>781.67000000000007</v>
      </c>
      <c r="H65" s="4">
        <f t="shared" ref="H65:H74" si="10">mLib.Bezier(G$16,H$16,I$16,J$16,$F65)</f>
        <v>286.07000000000005</v>
      </c>
    </row>
    <row r="66" spans="5:8">
      <c r="E66" s="13"/>
      <c r="F66" s="1">
        <v>0.2</v>
      </c>
      <c r="G66" s="4">
        <f t="shared" si="9"/>
        <v>833.76000000000022</v>
      </c>
      <c r="H66" s="4">
        <f t="shared" si="10"/>
        <v>260.56000000000006</v>
      </c>
    </row>
    <row r="67" spans="5:8">
      <c r="E67" s="13"/>
      <c r="F67" s="1">
        <v>0.3</v>
      </c>
      <c r="G67" s="4">
        <f t="shared" si="9"/>
        <v>884.88999999999987</v>
      </c>
      <c r="H67" s="4">
        <f t="shared" si="10"/>
        <v>250.88999999999996</v>
      </c>
    </row>
    <row r="68" spans="5:8">
      <c r="E68" s="13"/>
      <c r="F68" s="1">
        <v>0.4</v>
      </c>
      <c r="G68" s="4">
        <f t="shared" si="9"/>
        <v>933.68000000000006</v>
      </c>
      <c r="H68" s="4">
        <f t="shared" si="10"/>
        <v>254.48</v>
      </c>
    </row>
    <row r="69" spans="5:8">
      <c r="E69" s="13"/>
      <c r="F69" s="1">
        <v>0.5</v>
      </c>
      <c r="G69" s="4">
        <f t="shared" si="9"/>
        <v>978.75</v>
      </c>
      <c r="H69" s="4">
        <f t="shared" si="10"/>
        <v>268.75</v>
      </c>
    </row>
    <row r="70" spans="5:8">
      <c r="E70" s="13"/>
      <c r="F70" s="1">
        <v>0.6</v>
      </c>
      <c r="G70" s="4">
        <f t="shared" si="9"/>
        <v>1018.72</v>
      </c>
      <c r="H70" s="4">
        <f t="shared" si="10"/>
        <v>291.12</v>
      </c>
    </row>
    <row r="71" spans="5:8">
      <c r="E71" s="13"/>
      <c r="F71" s="1">
        <v>0.7</v>
      </c>
      <c r="G71" s="4">
        <f t="shared" si="9"/>
        <v>1052.21</v>
      </c>
      <c r="H71" s="4">
        <f t="shared" si="10"/>
        <v>319.01</v>
      </c>
    </row>
    <row r="72" spans="5:8">
      <c r="E72" s="13"/>
      <c r="F72" s="1">
        <v>0.8</v>
      </c>
      <c r="G72" s="4">
        <f t="shared" si="9"/>
        <v>1077.8399999999999</v>
      </c>
      <c r="H72" s="4">
        <f t="shared" si="10"/>
        <v>349.84000000000003</v>
      </c>
    </row>
    <row r="73" spans="5:8">
      <c r="E73" s="13"/>
      <c r="F73" s="1">
        <v>0.9</v>
      </c>
      <c r="G73" s="4">
        <f t="shared" si="9"/>
        <v>1094.23</v>
      </c>
      <c r="H73" s="4">
        <f t="shared" si="10"/>
        <v>381.03000000000003</v>
      </c>
    </row>
    <row r="74" spans="5:8">
      <c r="E74" s="14"/>
      <c r="F74" s="1">
        <v>1</v>
      </c>
      <c r="G74" s="4">
        <f t="shared" si="9"/>
        <v>1100</v>
      </c>
      <c r="H74" s="4">
        <f t="shared" si="10"/>
        <v>410</v>
      </c>
    </row>
    <row r="75" spans="5:8"/>
    <row r="76" spans="5:8"/>
  </sheetData>
  <mergeCells count="3">
    <mergeCell ref="E11:E15"/>
    <mergeCell ref="E42:E52"/>
    <mergeCell ref="E64:E74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6"/>
  <dimension ref="A1:T76"/>
  <sheetViews>
    <sheetView tabSelected="1" workbookViewId="0"/>
  </sheetViews>
  <sheetFormatPr defaultColWidth="0" defaultRowHeight="15" zeroHeight="1"/>
  <cols>
    <col min="1" max="20" width="9.140625" customWidth="1"/>
    <col min="21" max="16384" width="9.140625" hidden="1"/>
  </cols>
  <sheetData>
    <row r="1" spans="1:10">
      <c r="A1" t="s">
        <v>80</v>
      </c>
      <c r="C1" t="s">
        <v>60</v>
      </c>
    </row>
    <row r="2" spans="1:10"/>
    <row r="3" spans="1:10"/>
    <row r="4" spans="1:10"/>
    <row r="5" spans="1:10"/>
    <row r="6" spans="1:10">
      <c r="G6" s="7" t="s">
        <v>74</v>
      </c>
      <c r="H6" s="7" t="s">
        <v>75</v>
      </c>
      <c r="I6" s="7" t="s">
        <v>76</v>
      </c>
      <c r="J6" s="7" t="s">
        <v>77</v>
      </c>
    </row>
    <row r="7" spans="1:10">
      <c r="F7" s="8" t="s">
        <v>55</v>
      </c>
      <c r="G7">
        <f>C11</f>
        <v>2.1</v>
      </c>
      <c r="H7">
        <f>C13</f>
        <v>5.3</v>
      </c>
      <c r="I7">
        <f>C14</f>
        <v>54</v>
      </c>
      <c r="J7">
        <f>C15</f>
        <v>190</v>
      </c>
    </row>
    <row r="8" spans="1:10">
      <c r="F8" s="8" t="s">
        <v>56</v>
      </c>
      <c r="G8">
        <f>D11</f>
        <v>64</v>
      </c>
      <c r="H8">
        <f>D13</f>
        <v>42</v>
      </c>
      <c r="I8">
        <f>D14</f>
        <v>-41</v>
      </c>
      <c r="J8">
        <f>D15</f>
        <v>97</v>
      </c>
    </row>
    <row r="9" spans="1:10">
      <c r="F9" s="5" t="s">
        <v>55</v>
      </c>
      <c r="G9">
        <f t="shared" ref="G9:G16" si="0">J7</f>
        <v>190</v>
      </c>
      <c r="H9">
        <f>C16</f>
        <v>210</v>
      </c>
      <c r="I9">
        <f>C17</f>
        <v>350</v>
      </c>
      <c r="J9">
        <f>C18</f>
        <v>380</v>
      </c>
    </row>
    <row r="10" spans="1:10">
      <c r="B10" s="5" t="s">
        <v>57</v>
      </c>
      <c r="C10" t="s">
        <v>57</v>
      </c>
      <c r="F10" s="5" t="s">
        <v>56</v>
      </c>
      <c r="G10">
        <f t="shared" si="0"/>
        <v>97</v>
      </c>
      <c r="H10">
        <f>D16</f>
        <v>39</v>
      </c>
      <c r="I10">
        <f>D17</f>
        <v>-5.7</v>
      </c>
      <c r="J10">
        <f>D18</f>
        <v>150</v>
      </c>
    </row>
    <row r="11" spans="1:10">
      <c r="B11" s="5" t="s">
        <v>61</v>
      </c>
      <c r="C11">
        <v>2.1</v>
      </c>
      <c r="D11">
        <v>64</v>
      </c>
      <c r="E11" s="15"/>
      <c r="F11" s="8" t="s">
        <v>55</v>
      </c>
      <c r="G11">
        <f t="shared" si="0"/>
        <v>380</v>
      </c>
      <c r="H11">
        <f>$G11+C20</f>
        <v>440</v>
      </c>
      <c r="I11">
        <f>$G11+C21</f>
        <v>490</v>
      </c>
      <c r="J11">
        <f>$G11+C22</f>
        <v>560</v>
      </c>
    </row>
    <row r="12" spans="1:10">
      <c r="B12" s="5" t="s">
        <v>58</v>
      </c>
      <c r="C12" t="s">
        <v>58</v>
      </c>
      <c r="E12" s="16"/>
      <c r="F12" s="8" t="s">
        <v>56</v>
      </c>
      <c r="G12">
        <f t="shared" si="0"/>
        <v>150</v>
      </c>
      <c r="H12">
        <f>$G12+D20</f>
        <v>210</v>
      </c>
      <c r="I12">
        <f>$G12+D21</f>
        <v>270</v>
      </c>
      <c r="J12">
        <f>$G12+D22</f>
        <v>300</v>
      </c>
    </row>
    <row r="13" spans="1:10">
      <c r="B13" s="5" t="s">
        <v>62</v>
      </c>
      <c r="C13">
        <v>5.3</v>
      </c>
      <c r="D13">
        <v>42</v>
      </c>
      <c r="E13" s="16"/>
      <c r="F13" s="5" t="s">
        <v>55</v>
      </c>
      <c r="G13">
        <f t="shared" si="0"/>
        <v>560</v>
      </c>
      <c r="H13">
        <f>$G13+C23</f>
        <v>610</v>
      </c>
      <c r="I13">
        <f>$G13+C24</f>
        <v>710</v>
      </c>
      <c r="J13">
        <f>$G13+C25</f>
        <v>730</v>
      </c>
    </row>
    <row r="14" spans="1:10">
      <c r="B14" s="5" t="s">
        <v>63</v>
      </c>
      <c r="C14">
        <v>54</v>
      </c>
      <c r="D14">
        <v>-41</v>
      </c>
      <c r="E14" s="16"/>
      <c r="F14" s="5" t="s">
        <v>56</v>
      </c>
      <c r="G14">
        <f t="shared" si="0"/>
        <v>300</v>
      </c>
      <c r="H14">
        <f>$G14+D23</f>
        <v>220</v>
      </c>
      <c r="I14">
        <f>$G14+D24</f>
        <v>260</v>
      </c>
      <c r="J14">
        <f>$G14+D25</f>
        <v>330</v>
      </c>
    </row>
    <row r="15" spans="1:10">
      <c r="B15" s="5" t="s">
        <v>64</v>
      </c>
      <c r="C15">
        <v>190</v>
      </c>
      <c r="D15">
        <v>97</v>
      </c>
      <c r="E15" s="17"/>
      <c r="F15" s="8" t="s">
        <v>55</v>
      </c>
      <c r="G15">
        <f t="shared" si="0"/>
        <v>730</v>
      </c>
      <c r="H15">
        <f>$G15+C26</f>
        <v>900</v>
      </c>
      <c r="I15">
        <f>$G15+C27</f>
        <v>1100</v>
      </c>
      <c r="J15">
        <f>$G15+C28</f>
        <v>1100</v>
      </c>
    </row>
    <row r="16" spans="1:10">
      <c r="B16" s="5" t="s">
        <v>65</v>
      </c>
      <c r="C16">
        <v>210</v>
      </c>
      <c r="D16">
        <v>39</v>
      </c>
      <c r="E16" s="9"/>
      <c r="F16" s="8" t="s">
        <v>56</v>
      </c>
      <c r="G16">
        <f t="shared" si="0"/>
        <v>330</v>
      </c>
      <c r="H16">
        <f>$G16+D26</f>
        <v>150</v>
      </c>
      <c r="I16">
        <f>$G16+D27</f>
        <v>320</v>
      </c>
      <c r="J16">
        <f>$G16+D28</f>
        <v>410</v>
      </c>
    </row>
    <row r="17" spans="2:8">
      <c r="B17" s="5" t="s">
        <v>66</v>
      </c>
      <c r="C17">
        <v>350</v>
      </c>
      <c r="D17">
        <v>-5.7</v>
      </c>
      <c r="E17" s="10"/>
    </row>
    <row r="18" spans="2:8">
      <c r="B18" s="6">
        <v>380150</v>
      </c>
      <c r="C18">
        <v>380</v>
      </c>
      <c r="D18">
        <v>150</v>
      </c>
      <c r="E18" s="11"/>
    </row>
    <row r="19" spans="2:8">
      <c r="B19" s="5" t="s">
        <v>59</v>
      </c>
      <c r="C19" t="s">
        <v>59</v>
      </c>
    </row>
    <row r="20" spans="2:8">
      <c r="B20" s="5" t="s">
        <v>67</v>
      </c>
      <c r="C20">
        <v>60</v>
      </c>
      <c r="D20">
        <v>60</v>
      </c>
      <c r="E20" s="1"/>
      <c r="F20" s="1">
        <v>0</v>
      </c>
      <c r="G20" s="4">
        <f>mLib.Bezier(G$7,H$7,I$7,J$7,$F20)</f>
        <v>2.1</v>
      </c>
      <c r="H20" s="4">
        <f>mLib.Bezier(G$8,H$8,I$8,J$8,$F20)</f>
        <v>64</v>
      </c>
    </row>
    <row r="21" spans="2:8">
      <c r="B21" s="6">
        <v>110120</v>
      </c>
      <c r="C21">
        <v>110</v>
      </c>
      <c r="D21">
        <v>120</v>
      </c>
      <c r="E21" s="1"/>
      <c r="F21" s="1">
        <v>0.1</v>
      </c>
      <c r="G21" s="4">
        <f t="shared" ref="G21:G30" si="1">mLib.Bezier(G$7,H$7,I$7,J$7,$F21)</f>
        <v>4.466800000000001</v>
      </c>
      <c r="H21" s="4">
        <f t="shared" ref="H21:H30" si="2">mLib.Bezier(G$8,H$8,I$8,J$8,$F21)</f>
        <v>55.852000000000004</v>
      </c>
    </row>
    <row r="22" spans="2:8">
      <c r="B22" s="6">
        <v>180150</v>
      </c>
      <c r="C22">
        <v>180</v>
      </c>
      <c r="D22">
        <v>150</v>
      </c>
      <c r="E22" s="1"/>
      <c r="F22" s="1">
        <v>0.2</v>
      </c>
      <c r="G22" s="4">
        <f t="shared" si="1"/>
        <v>9.8144000000000027</v>
      </c>
      <c r="H22" s="4">
        <f t="shared" si="2"/>
        <v>45.736000000000011</v>
      </c>
    </row>
    <row r="23" spans="2:8">
      <c r="B23" s="5" t="s">
        <v>68</v>
      </c>
      <c r="C23">
        <v>50</v>
      </c>
      <c r="D23">
        <v>-80</v>
      </c>
      <c r="F23" s="1">
        <v>0.3</v>
      </c>
      <c r="G23" s="4">
        <f t="shared" si="1"/>
        <v>18.393599999999996</v>
      </c>
      <c r="H23" s="4">
        <f t="shared" si="2"/>
        <v>35.343999999999994</v>
      </c>
    </row>
    <row r="24" spans="2:8">
      <c r="B24" s="5" t="s">
        <v>69</v>
      </c>
      <c r="C24">
        <v>150</v>
      </c>
      <c r="D24">
        <v>-40</v>
      </c>
      <c r="F24" s="1">
        <v>0.4</v>
      </c>
      <c r="G24" s="4">
        <f t="shared" si="1"/>
        <v>30.455200000000001</v>
      </c>
      <c r="H24" s="4">
        <f t="shared" si="2"/>
        <v>26.367999999999999</v>
      </c>
    </row>
    <row r="25" spans="2:8">
      <c r="B25" s="5" t="s">
        <v>70</v>
      </c>
      <c r="C25">
        <v>170</v>
      </c>
      <c r="D25">
        <v>30</v>
      </c>
      <c r="F25" s="1">
        <v>0.5</v>
      </c>
      <c r="G25" s="4">
        <f t="shared" si="1"/>
        <v>46.25</v>
      </c>
      <c r="H25" s="4">
        <f t="shared" si="2"/>
        <v>20.5</v>
      </c>
    </row>
    <row r="26" spans="2:8">
      <c r="B26" s="5" t="s">
        <v>71</v>
      </c>
      <c r="C26">
        <v>170</v>
      </c>
      <c r="D26">
        <v>-180</v>
      </c>
      <c r="E26" s="1"/>
      <c r="F26" s="1">
        <v>0.6</v>
      </c>
      <c r="G26" s="4">
        <f t="shared" si="1"/>
        <v>66.02879999999999</v>
      </c>
      <c r="H26" s="4">
        <f t="shared" si="2"/>
        <v>19.432000000000002</v>
      </c>
    </row>
    <row r="27" spans="2:8">
      <c r="B27" s="5" t="s">
        <v>72</v>
      </c>
      <c r="C27">
        <v>370</v>
      </c>
      <c r="D27">
        <v>-10</v>
      </c>
      <c r="E27" s="1"/>
      <c r="F27" s="1">
        <v>0.7</v>
      </c>
      <c r="G27" s="4">
        <f t="shared" si="1"/>
        <v>90.042399999999986</v>
      </c>
      <c r="H27" s="4">
        <f t="shared" si="2"/>
        <v>24.855999999999995</v>
      </c>
    </row>
    <row r="28" spans="2:8">
      <c r="B28" s="6" t="s">
        <v>73</v>
      </c>
      <c r="C28">
        <v>370</v>
      </c>
      <c r="D28">
        <v>80</v>
      </c>
      <c r="E28" s="1"/>
      <c r="F28" s="1">
        <v>0.8</v>
      </c>
      <c r="G28" s="4">
        <f t="shared" si="1"/>
        <v>118.54160000000002</v>
      </c>
      <c r="H28" s="4">
        <f t="shared" si="2"/>
        <v>38.464000000000006</v>
      </c>
    </row>
    <row r="29" spans="2:8">
      <c r="F29" s="1">
        <v>0.9</v>
      </c>
      <c r="G29" s="4">
        <f t="shared" si="1"/>
        <v>151.77720000000002</v>
      </c>
      <c r="H29" s="4">
        <f t="shared" si="2"/>
        <v>61.948000000000008</v>
      </c>
    </row>
    <row r="30" spans="2:8">
      <c r="F30" s="1">
        <v>1</v>
      </c>
      <c r="G30" s="4">
        <f t="shared" si="1"/>
        <v>190</v>
      </c>
      <c r="H30" s="4">
        <f t="shared" si="2"/>
        <v>97</v>
      </c>
    </row>
    <row r="31" spans="2:8">
      <c r="F31">
        <v>0</v>
      </c>
      <c r="G31" s="4">
        <f>mLib.Bezier(G$9,H$9,I$9,J$9,$F31)</f>
        <v>190</v>
      </c>
      <c r="H31" s="4">
        <f>mLib.Bezier(G$10,H$10,I$10,J$10,$F31)</f>
        <v>97</v>
      </c>
    </row>
    <row r="32" spans="2:8">
      <c r="F32">
        <v>0.1</v>
      </c>
      <c r="G32" s="4">
        <f t="shared" ref="G32:G41" si="3">mLib.Bezier(G$9,H$9,I$9,J$9,$F32)</f>
        <v>199.37000000000003</v>
      </c>
      <c r="H32" s="4">
        <f t="shared" ref="H32:H41" si="4">mLib.Bezier(G$10,H$10,I$10,J$10,$F32)</f>
        <v>80.18610000000001</v>
      </c>
    </row>
    <row r="33" spans="5:8">
      <c r="F33">
        <v>0.2</v>
      </c>
      <c r="G33" s="4">
        <f t="shared" si="3"/>
        <v>214.56000000000006</v>
      </c>
      <c r="H33" s="4">
        <f t="shared" si="4"/>
        <v>65.292800000000014</v>
      </c>
    </row>
    <row r="34" spans="5:8">
      <c r="F34">
        <v>0.3</v>
      </c>
      <c r="G34" s="4">
        <f t="shared" si="3"/>
        <v>234.18999999999997</v>
      </c>
      <c r="H34" s="4">
        <f t="shared" si="4"/>
        <v>53.442699999999988</v>
      </c>
    </row>
    <row r="35" spans="5:8">
      <c r="F35">
        <v>0.4</v>
      </c>
      <c r="G35" s="4">
        <f t="shared" si="3"/>
        <v>256.88</v>
      </c>
      <c r="H35" s="4">
        <f t="shared" si="4"/>
        <v>45.758400000000002</v>
      </c>
    </row>
    <row r="36" spans="5:8">
      <c r="F36">
        <v>0.5</v>
      </c>
      <c r="G36" s="4">
        <f t="shared" si="3"/>
        <v>281.25</v>
      </c>
      <c r="H36" s="4">
        <f t="shared" si="4"/>
        <v>43.362499999999997</v>
      </c>
    </row>
    <row r="37" spans="5:8">
      <c r="F37">
        <v>0.6</v>
      </c>
      <c r="G37" s="4">
        <f t="shared" si="3"/>
        <v>305.92</v>
      </c>
      <c r="H37" s="4">
        <f t="shared" si="4"/>
        <v>47.377600000000001</v>
      </c>
    </row>
    <row r="38" spans="5:8">
      <c r="F38">
        <v>0.7</v>
      </c>
      <c r="G38" s="4">
        <f t="shared" si="3"/>
        <v>329.51</v>
      </c>
      <c r="H38" s="4">
        <f t="shared" si="4"/>
        <v>58.926299999999991</v>
      </c>
    </row>
    <row r="39" spans="5:8">
      <c r="F39">
        <v>0.8</v>
      </c>
      <c r="G39" s="4">
        <f t="shared" si="3"/>
        <v>350.64</v>
      </c>
      <c r="H39" s="4">
        <f t="shared" si="4"/>
        <v>79.131200000000007</v>
      </c>
    </row>
    <row r="40" spans="5:8">
      <c r="F40">
        <v>0.9</v>
      </c>
      <c r="G40" s="4">
        <f t="shared" si="3"/>
        <v>367.93</v>
      </c>
      <c r="H40" s="4">
        <f t="shared" si="4"/>
        <v>109.11490000000001</v>
      </c>
    </row>
    <row r="41" spans="5:8">
      <c r="F41">
        <v>1</v>
      </c>
      <c r="G41" s="4">
        <f t="shared" si="3"/>
        <v>380</v>
      </c>
      <c r="H41" s="4">
        <f t="shared" si="4"/>
        <v>150</v>
      </c>
    </row>
    <row r="42" spans="5:8">
      <c r="E42" s="12">
        <v>3</v>
      </c>
      <c r="F42" s="1">
        <v>0</v>
      </c>
      <c r="G42" s="4">
        <f>mLib.Bezier(G$11,H$11,I$11,J$11,$F42)</f>
        <v>380</v>
      </c>
      <c r="H42" s="4">
        <f>mLib.Bezier(G$12,H$12,I$12,J$12,$F42)</f>
        <v>150</v>
      </c>
    </row>
    <row r="43" spans="5:8">
      <c r="E43" s="13"/>
      <c r="F43" s="1">
        <v>0.1</v>
      </c>
      <c r="G43" s="4">
        <f t="shared" ref="G43:G52" si="5">mLib.Bezier(G$11,H$11,I$11,J$11,$F43)</f>
        <v>397.73000000000008</v>
      </c>
      <c r="H43" s="4">
        <f t="shared" ref="H43:H52" si="6">mLib.Bezier(G$12,H$12,I$12,J$12,$F43)</f>
        <v>167.97000000000003</v>
      </c>
    </row>
    <row r="44" spans="5:8">
      <c r="E44" s="13"/>
      <c r="F44" s="1">
        <v>0.2</v>
      </c>
      <c r="G44" s="4">
        <f t="shared" si="5"/>
        <v>415.04000000000008</v>
      </c>
      <c r="H44" s="4">
        <f t="shared" si="6"/>
        <v>185.76000000000005</v>
      </c>
    </row>
    <row r="45" spans="5:8">
      <c r="E45" s="13"/>
      <c r="F45" s="1">
        <v>0.3</v>
      </c>
      <c r="G45" s="4">
        <f t="shared" si="5"/>
        <v>432.1099999999999</v>
      </c>
      <c r="H45" s="4">
        <f t="shared" si="6"/>
        <v>203.18999999999997</v>
      </c>
    </row>
    <row r="46" spans="5:8">
      <c r="E46" s="13"/>
      <c r="F46" s="1">
        <v>0.4</v>
      </c>
      <c r="G46" s="4">
        <f t="shared" si="5"/>
        <v>449.12</v>
      </c>
      <c r="H46" s="4">
        <f t="shared" si="6"/>
        <v>220.08</v>
      </c>
    </row>
    <row r="47" spans="5:8">
      <c r="E47" s="13"/>
      <c r="F47" s="1">
        <v>0.5</v>
      </c>
      <c r="G47" s="4">
        <f t="shared" si="5"/>
        <v>466.25</v>
      </c>
      <c r="H47" s="4">
        <f t="shared" si="6"/>
        <v>236.25</v>
      </c>
    </row>
    <row r="48" spans="5:8">
      <c r="E48" s="13"/>
      <c r="F48" s="1">
        <v>0.6</v>
      </c>
      <c r="G48" s="4">
        <f t="shared" si="5"/>
        <v>483.68</v>
      </c>
      <c r="H48" s="4">
        <f t="shared" si="6"/>
        <v>251.52</v>
      </c>
    </row>
    <row r="49" spans="5:8">
      <c r="E49" s="13"/>
      <c r="F49" s="1">
        <v>0.7</v>
      </c>
      <c r="G49" s="4">
        <f t="shared" si="5"/>
        <v>501.59</v>
      </c>
      <c r="H49" s="4">
        <f t="shared" si="6"/>
        <v>265.70999999999998</v>
      </c>
    </row>
    <row r="50" spans="5:8">
      <c r="E50" s="13"/>
      <c r="F50" s="1">
        <v>0.8</v>
      </c>
      <c r="G50" s="4">
        <f t="shared" si="5"/>
        <v>520.16</v>
      </c>
      <c r="H50" s="4">
        <f t="shared" si="6"/>
        <v>278.64</v>
      </c>
    </row>
    <row r="51" spans="5:8">
      <c r="E51" s="13"/>
      <c r="F51" s="1">
        <v>0.9</v>
      </c>
      <c r="G51" s="4">
        <f t="shared" si="5"/>
        <v>539.57000000000005</v>
      </c>
      <c r="H51" s="4">
        <f t="shared" si="6"/>
        <v>290.13</v>
      </c>
    </row>
    <row r="52" spans="5:8">
      <c r="E52" s="14"/>
      <c r="F52" s="1">
        <v>1</v>
      </c>
      <c r="G52" s="4">
        <f t="shared" si="5"/>
        <v>560</v>
      </c>
      <c r="H52" s="4">
        <f t="shared" si="6"/>
        <v>300</v>
      </c>
    </row>
    <row r="53" spans="5:8">
      <c r="F53">
        <v>0</v>
      </c>
      <c r="G53" s="4">
        <f>mLib.Bezier(G$13,H$13,I$13,J$13,$F53)</f>
        <v>560</v>
      </c>
      <c r="H53" s="4">
        <f>mLib.Bezier(G$14,H$14,I$14,J$14,$F53)</f>
        <v>300</v>
      </c>
    </row>
    <row r="54" spans="5:8">
      <c r="F54">
        <v>0.1</v>
      </c>
      <c r="G54" s="4">
        <f t="shared" ref="G54:G63" si="7">mLib.Bezier(G$13,H$13,I$13,J$13,$F54)</f>
        <v>576.37000000000012</v>
      </c>
      <c r="H54" s="4">
        <f t="shared" ref="H54:H63" si="8">mLib.Bezier(G$14,H$14,I$14,J$14,$F54)</f>
        <v>279.51000000000005</v>
      </c>
    </row>
    <row r="55" spans="5:8">
      <c r="F55">
        <v>0.2</v>
      </c>
      <c r="G55" s="4">
        <f t="shared" si="7"/>
        <v>594.96000000000015</v>
      </c>
      <c r="H55" s="4">
        <f t="shared" si="8"/>
        <v>265.68000000000006</v>
      </c>
    </row>
    <row r="56" spans="5:8">
      <c r="F56">
        <v>0.3</v>
      </c>
      <c r="G56" s="4">
        <f t="shared" si="7"/>
        <v>614.9899999999999</v>
      </c>
      <c r="H56" s="4">
        <f t="shared" si="8"/>
        <v>257.96999999999997</v>
      </c>
    </row>
    <row r="57" spans="5:8">
      <c r="F57">
        <v>0.4</v>
      </c>
      <c r="G57" s="4">
        <f t="shared" si="7"/>
        <v>635.68000000000006</v>
      </c>
      <c r="H57" s="4">
        <f t="shared" si="8"/>
        <v>255.84</v>
      </c>
    </row>
    <row r="58" spans="5:8">
      <c r="F58">
        <v>0.5</v>
      </c>
      <c r="G58" s="4">
        <f t="shared" si="7"/>
        <v>656.25</v>
      </c>
      <c r="H58" s="4">
        <f t="shared" si="8"/>
        <v>258.75</v>
      </c>
    </row>
    <row r="59" spans="5:8">
      <c r="F59">
        <v>0.6</v>
      </c>
      <c r="G59" s="4">
        <f t="shared" si="7"/>
        <v>675.92</v>
      </c>
      <c r="H59" s="4">
        <f t="shared" si="8"/>
        <v>266.16000000000003</v>
      </c>
    </row>
    <row r="60" spans="5:8">
      <c r="F60">
        <v>0.7</v>
      </c>
      <c r="G60" s="4">
        <f t="shared" si="7"/>
        <v>693.91</v>
      </c>
      <c r="H60" s="4">
        <f t="shared" si="8"/>
        <v>277.52999999999997</v>
      </c>
    </row>
    <row r="61" spans="5:8">
      <c r="F61">
        <v>0.8</v>
      </c>
      <c r="G61" s="4">
        <f t="shared" si="7"/>
        <v>709.44</v>
      </c>
      <c r="H61" s="4">
        <f t="shared" si="8"/>
        <v>292.32</v>
      </c>
    </row>
    <row r="62" spans="5:8">
      <c r="F62">
        <v>0.9</v>
      </c>
      <c r="G62" s="4">
        <f t="shared" si="7"/>
        <v>721.73</v>
      </c>
      <c r="H62" s="4">
        <f t="shared" si="8"/>
        <v>309.99</v>
      </c>
    </row>
    <row r="63" spans="5:8">
      <c r="F63">
        <v>1</v>
      </c>
      <c r="G63" s="4">
        <f t="shared" si="7"/>
        <v>730</v>
      </c>
      <c r="H63" s="4">
        <f t="shared" si="8"/>
        <v>330</v>
      </c>
    </row>
    <row r="64" spans="5:8">
      <c r="E64" s="12">
        <v>5</v>
      </c>
      <c r="F64" s="1">
        <v>0</v>
      </c>
      <c r="G64" s="4">
        <f>mLib.Bezier(G$15,H$15,I$15,J$15,$F64)</f>
        <v>730</v>
      </c>
      <c r="H64" s="4">
        <f>mLib.Bezier(G$16,H$16,I$16,J$16,$F64)</f>
        <v>330</v>
      </c>
    </row>
    <row r="65" spans="5:8">
      <c r="E65" s="13"/>
      <c r="F65" s="1">
        <v>0.1</v>
      </c>
      <c r="G65" s="4">
        <f t="shared" ref="G65:G74" si="9">mLib.Bezier(G$15,H$15,I$15,J$15,$F65)</f>
        <v>781.67000000000007</v>
      </c>
      <c r="H65" s="4">
        <f t="shared" ref="H65:H74" si="10">mLib.Bezier(G$16,H$16,I$16,J$16,$F65)</f>
        <v>286.07000000000005</v>
      </c>
    </row>
    <row r="66" spans="5:8">
      <c r="E66" s="13"/>
      <c r="F66" s="1">
        <v>0.2</v>
      </c>
      <c r="G66" s="4">
        <f t="shared" si="9"/>
        <v>833.76000000000022</v>
      </c>
      <c r="H66" s="4">
        <f t="shared" si="10"/>
        <v>260.56000000000006</v>
      </c>
    </row>
    <row r="67" spans="5:8">
      <c r="E67" s="13"/>
      <c r="F67" s="1">
        <v>0.3</v>
      </c>
      <c r="G67" s="4">
        <f t="shared" si="9"/>
        <v>884.88999999999987</v>
      </c>
      <c r="H67" s="4">
        <f t="shared" si="10"/>
        <v>250.88999999999996</v>
      </c>
    </row>
    <row r="68" spans="5:8">
      <c r="E68" s="13"/>
      <c r="F68" s="1">
        <v>0.4</v>
      </c>
      <c r="G68" s="4">
        <f t="shared" si="9"/>
        <v>933.68000000000006</v>
      </c>
      <c r="H68" s="4">
        <f t="shared" si="10"/>
        <v>254.48</v>
      </c>
    </row>
    <row r="69" spans="5:8">
      <c r="E69" s="13"/>
      <c r="F69" s="1">
        <v>0.5</v>
      </c>
      <c r="G69" s="4">
        <f t="shared" si="9"/>
        <v>978.75</v>
      </c>
      <c r="H69" s="4">
        <f t="shared" si="10"/>
        <v>268.75</v>
      </c>
    </row>
    <row r="70" spans="5:8">
      <c r="E70" s="13"/>
      <c r="F70" s="1">
        <v>0.6</v>
      </c>
      <c r="G70" s="4">
        <f t="shared" si="9"/>
        <v>1018.72</v>
      </c>
      <c r="H70" s="4">
        <f t="shared" si="10"/>
        <v>291.12</v>
      </c>
    </row>
    <row r="71" spans="5:8">
      <c r="E71" s="13"/>
      <c r="F71" s="1">
        <v>0.7</v>
      </c>
      <c r="G71" s="4">
        <f t="shared" si="9"/>
        <v>1052.21</v>
      </c>
      <c r="H71" s="4">
        <f t="shared" si="10"/>
        <v>319.01</v>
      </c>
    </row>
    <row r="72" spans="5:8">
      <c r="E72" s="13"/>
      <c r="F72" s="1">
        <v>0.8</v>
      </c>
      <c r="G72" s="4">
        <f t="shared" si="9"/>
        <v>1077.8399999999999</v>
      </c>
      <c r="H72" s="4">
        <f t="shared" si="10"/>
        <v>349.84000000000003</v>
      </c>
    </row>
    <row r="73" spans="5:8">
      <c r="E73" s="13"/>
      <c r="F73" s="1">
        <v>0.9</v>
      </c>
      <c r="G73" s="4">
        <f t="shared" si="9"/>
        <v>1094.23</v>
      </c>
      <c r="H73" s="4">
        <f t="shared" si="10"/>
        <v>381.03000000000003</v>
      </c>
    </row>
    <row r="74" spans="5:8">
      <c r="E74" s="14"/>
      <c r="F74" s="1">
        <v>1</v>
      </c>
      <c r="G74" s="4">
        <f t="shared" si="9"/>
        <v>1100</v>
      </c>
      <c r="H74" s="4">
        <f t="shared" si="10"/>
        <v>410</v>
      </c>
    </row>
    <row r="75" spans="5:8"/>
    <row r="76" spans="5:8"/>
  </sheetData>
  <mergeCells count="3">
    <mergeCell ref="E42:E52"/>
    <mergeCell ref="E11:E15"/>
    <mergeCell ref="E64:E74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K68"/>
  <sheetViews>
    <sheetView workbookViewId="0"/>
  </sheetViews>
  <sheetFormatPr defaultColWidth="0" defaultRowHeight="15" zeroHeight="1"/>
  <cols>
    <col min="1" max="11" width="9.140625" customWidth="1"/>
    <col min="12" max="16384" width="9.140625" hidden="1"/>
  </cols>
  <sheetData>
    <row r="1" spans="1:2">
      <c r="A1" t="str">
        <f>CONCATENATE(B4&amp;CHAR(10),tSVG,tDEFS,tMETA,A54)</f>
        <v>&lt;?xml version="1.0" encoding="UTF-8" standalone="no"?&gt;
&lt;svg   xmlns:dc="http://purl.org/dc/elements/1.1/"   xmlns:cc="http://creativecommons.org/ns#"   xmlns:rdf="http://www.w3.org/1999/02/22-rdf-syntax-ns#"   xmlns:svg="http://www.w3.org/2000/svg"   xmlns="http://www.w3.org/2000/svg"   xmlns:sodipodi="http://sodipodi.sourceforge.net/DTD/sodipodi-0.dtd"   xmlns:inkscape="http://www.inkscape.org/namespaces/inkscape"   width="210mm"   height="297mm"   viewBox="0 0 210 297"   version="1.1"   id="svg8"   inkscape:version="0.92.5 (2060ec1f9f, 2020-04-08)"   sodipodi:docname="espelho11.svg"&gt;  &lt;defs     id="defs2" /&gt;  &lt;sodipodi:namedview     id="base"     pagecolor="#ffffff"     bordercolor="#666666"     borderopacity="1.0"     inkscape:pageopacity="0.0"     inkscape:pageshadow="2"     inkscape:zoom="4.7"     inkscape:cx="3.4e+02"     inkscape:cy="1.1e+03"     inkscape:document-units="mm"     inkscape:current-layer="layer1"     showgrid="false"     inkscape:window-width="1366"     inkscape:window-height="705"     inkscape:window-x="-8"     inkscape:window-y="-8"     inkscape:window-maximized="1" /&gt;  &lt;metadata     id="metadata5"&gt;    &lt;rdf:RDF&gt;      &lt;cc:Work         rdf:about=""&gt;        &lt;dc:format&gt;image/svg+xml&lt;/dc:format&gt;        &lt;dc:type           rdf:resource="http://purl.org/dc/dcmitype/StillImage" /&gt;        &lt;dc:title /&gt;      &lt;/cc:Work&gt;    &lt;/rdf:RDF&gt;  &lt;/metadata&gt;  &lt;g     inkscape:label="Layer 1"     inkscape:groupmode="layer"     id="layer1"&gt;</v>
      </c>
    </row>
    <row r="2" spans="1:2">
      <c r="A2" t="str">
        <f>A65</f>
        <v xml:space="preserve">  &lt;/g&gt;&lt;/svg&gt;</v>
      </c>
    </row>
    <row r="3" spans="1:2">
      <c r="A3" t="s">
        <v>53</v>
      </c>
    </row>
    <row r="4" spans="1:2">
      <c r="B4" s="1" t="s">
        <v>0</v>
      </c>
    </row>
    <row r="5" spans="1:2">
      <c r="B5" s="1" t="s">
        <v>1</v>
      </c>
    </row>
    <row r="6" spans="1:2">
      <c r="B6" s="1"/>
    </row>
    <row r="7" spans="1:2">
      <c r="A7" s="3" t="str">
        <f>CONCATENATE(B7,B8,B9,B10,B11,B12,B13,B14,B15,B16,B17,B18,B19,B20,B21)</f>
        <v>&lt;svg   xmlns:dc="http://purl.org/dc/elements/1.1/"   xmlns:cc="http://creativecommons.org/ns#"   xmlns:rdf="http://www.w3.org/1999/02/22-rdf-syntax-ns#"   xmlns:svg="http://www.w3.org/2000/svg"   xmlns="http://www.w3.org/2000/svg"   xmlns:sodipodi="http://sodipodi.sourceforge.net/DTD/sodipodi-0.dtd"   xmlns:inkscape="http://www.inkscape.org/namespaces/inkscape"   width="210mm"   height="297mm"   viewBox="0 0 210 297"   version="1.1"   id="svg8"   inkscape:version="0.92.5 (2060ec1f9f, 2020-04-08)"   sodipodi:docname="espelho11.svg"&gt;</v>
      </c>
      <c r="B7" s="1" t="s">
        <v>2</v>
      </c>
    </row>
    <row r="8" spans="1:2">
      <c r="B8" s="1" t="s">
        <v>3</v>
      </c>
    </row>
    <row r="9" spans="1:2">
      <c r="B9" s="1" t="s">
        <v>4</v>
      </c>
    </row>
    <row r="10" spans="1:2">
      <c r="B10" s="1" t="s">
        <v>5</v>
      </c>
    </row>
    <row r="11" spans="1:2">
      <c r="B11" s="1" t="s">
        <v>6</v>
      </c>
    </row>
    <row r="12" spans="1:2">
      <c r="B12" s="1" t="s">
        <v>7</v>
      </c>
    </row>
    <row r="13" spans="1:2">
      <c r="B13" s="1" t="s">
        <v>8</v>
      </c>
    </row>
    <row r="14" spans="1:2">
      <c r="B14" s="1" t="s">
        <v>9</v>
      </c>
    </row>
    <row r="15" spans="1:2">
      <c r="B15" s="1" t="s">
        <v>10</v>
      </c>
    </row>
    <row r="16" spans="1:2">
      <c r="B16" s="1" t="s">
        <v>11</v>
      </c>
    </row>
    <row r="17" spans="1:2">
      <c r="B17" s="1" t="s">
        <v>12</v>
      </c>
    </row>
    <row r="18" spans="1:2">
      <c r="B18" s="1" t="s">
        <v>13</v>
      </c>
    </row>
    <row r="19" spans="1:2">
      <c r="B19" s="1" t="s">
        <v>14</v>
      </c>
    </row>
    <row r="20" spans="1:2">
      <c r="B20" s="1" t="s">
        <v>15</v>
      </c>
    </row>
    <row r="21" spans="1:2">
      <c r="B21" s="1" t="str">
        <f>CONCATENATE("   sodipodi:docname=""",A3,".svg""","&gt;")</f>
        <v xml:space="preserve">   sodipodi:docname="espelho11.svg"&gt;</v>
      </c>
    </row>
    <row r="22" spans="1:2">
      <c r="A22" s="3" t="str">
        <f>CONCATENATE(B22,B23,B24,B25,B26,B27,B28,B29,B30,B31,B32,B33,B34,B35,B36,B37,B38,B39,B40,B41)</f>
        <v xml:space="preserve">  &lt;defs     id="defs2" /&gt;  &lt;sodipodi:namedview     id="base"     pagecolor="#ffffff"     bordercolor="#666666"     borderopacity="1.0"     inkscape:pageopacity="0.0"     inkscape:pageshadow="2"     inkscape:zoom="4.7"     inkscape:cx="3.4e+02"     inkscape:cy="1.1e+03"     inkscape:document-units="mm"     inkscape:current-layer="layer1"     showgrid="false"     inkscape:window-width="1366"     inkscape:window-height="705"     inkscape:window-x="-8"     inkscape:window-y="-8"     inkscape:window-maximized="1" /&gt;</v>
      </c>
      <c r="B22" s="1" t="s">
        <v>16</v>
      </c>
    </row>
    <row r="23" spans="1:2">
      <c r="B23" s="1" t="s">
        <v>17</v>
      </c>
    </row>
    <row r="24" spans="1:2">
      <c r="B24" s="1" t="s">
        <v>18</v>
      </c>
    </row>
    <row r="25" spans="1:2">
      <c r="B25" s="1" t="s">
        <v>19</v>
      </c>
    </row>
    <row r="26" spans="1:2">
      <c r="B26" s="1" t="s">
        <v>20</v>
      </c>
    </row>
    <row r="27" spans="1:2">
      <c r="B27" s="1" t="s">
        <v>21</v>
      </c>
    </row>
    <row r="28" spans="1:2">
      <c r="B28" s="1" t="s">
        <v>22</v>
      </c>
    </row>
    <row r="29" spans="1:2">
      <c r="B29" s="1" t="s">
        <v>23</v>
      </c>
    </row>
    <row r="30" spans="1:2">
      <c r="B30" s="1" t="s">
        <v>24</v>
      </c>
    </row>
    <row r="31" spans="1:2">
      <c r="B31" s="1" t="s">
        <v>25</v>
      </c>
    </row>
    <row r="32" spans="1:2">
      <c r="B32" s="1" t="s">
        <v>26</v>
      </c>
    </row>
    <row r="33" spans="1:2">
      <c r="B33" s="1" t="s">
        <v>27</v>
      </c>
    </row>
    <row r="34" spans="1:2">
      <c r="B34" s="1" t="s">
        <v>28</v>
      </c>
    </row>
    <row r="35" spans="1:2">
      <c r="B35" s="1" t="s">
        <v>29</v>
      </c>
    </row>
    <row r="36" spans="1:2">
      <c r="B36" s="1" t="s">
        <v>30</v>
      </c>
    </row>
    <row r="37" spans="1:2">
      <c r="B37" s="1" t="s">
        <v>31</v>
      </c>
    </row>
    <row r="38" spans="1:2">
      <c r="B38" s="1" t="s">
        <v>32</v>
      </c>
    </row>
    <row r="39" spans="1:2">
      <c r="B39" s="1" t="s">
        <v>33</v>
      </c>
    </row>
    <row r="40" spans="1:2">
      <c r="B40" s="1" t="s">
        <v>34</v>
      </c>
    </row>
    <row r="41" spans="1:2">
      <c r="B41" s="1" t="s">
        <v>35</v>
      </c>
    </row>
    <row r="42" spans="1:2">
      <c r="A42" s="3" t="str">
        <f>CONCATENATE(B42,B43,B44,B45,B46,B47,B48,B49,B50,B51,B52,B53)</f>
        <v xml:space="preserve">  &lt;metadata     id="metadata5"&gt;    &lt;rdf:RDF&gt;      &lt;cc:Work         rdf:about=""&gt;        &lt;dc:format&gt;image/svg+xml&lt;/dc:format&gt;        &lt;dc:type           rdf:resource="http://purl.org/dc/dcmitype/StillImage" /&gt;        &lt;dc:title /&gt;      &lt;/cc:Work&gt;    &lt;/rdf:RDF&gt;  &lt;/metadata&gt;</v>
      </c>
      <c r="B42" s="1" t="s">
        <v>36</v>
      </c>
    </row>
    <row r="43" spans="1:2">
      <c r="B43" s="1" t="s">
        <v>37</v>
      </c>
    </row>
    <row r="44" spans="1:2">
      <c r="B44" s="1" t="s">
        <v>38</v>
      </c>
    </row>
    <row r="45" spans="1:2">
      <c r="B45" s="1" t="s">
        <v>39</v>
      </c>
    </row>
    <row r="46" spans="1:2">
      <c r="B46" s="1" t="s">
        <v>40</v>
      </c>
    </row>
    <row r="47" spans="1:2">
      <c r="B47" s="1" t="s">
        <v>41</v>
      </c>
    </row>
    <row r="48" spans="1:2">
      <c r="B48" s="1" t="s">
        <v>42</v>
      </c>
    </row>
    <row r="49" spans="1:2">
      <c r="B49" s="1" t="s">
        <v>43</v>
      </c>
    </row>
    <row r="50" spans="1:2">
      <c r="B50" s="1" t="s">
        <v>44</v>
      </c>
    </row>
    <row r="51" spans="1:2">
      <c r="B51" s="1" t="s">
        <v>45</v>
      </c>
    </row>
    <row r="52" spans="1:2">
      <c r="B52" s="1" t="s">
        <v>46</v>
      </c>
    </row>
    <row r="53" spans="1:2">
      <c r="B53" s="1" t="s">
        <v>47</v>
      </c>
    </row>
    <row r="54" spans="1:2">
      <c r="A54" s="3" t="str">
        <f>CONCATENATE(B54,B55,B56,B57)</f>
        <v xml:space="preserve">  &lt;g     inkscape:label="Layer 1"     inkscape:groupmode="layer"     id="layer1"&gt;</v>
      </c>
      <c r="B54" s="1" t="s">
        <v>48</v>
      </c>
    </row>
    <row r="55" spans="1:2">
      <c r="B55" s="1" t="s">
        <v>49</v>
      </c>
    </row>
    <row r="56" spans="1:2">
      <c r="B56" s="1" t="s">
        <v>50</v>
      </c>
    </row>
    <row r="57" spans="1:2">
      <c r="B57" t="s">
        <v>54</v>
      </c>
    </row>
    <row r="58" spans="1:2"/>
    <row r="59" spans="1:2"/>
    <row r="60" spans="1:2"/>
    <row r="61" spans="1:2"/>
    <row r="62" spans="1:2"/>
    <row r="63" spans="1:2"/>
    <row r="64" spans="1:2"/>
    <row r="65" spans="1:2">
      <c r="A65" s="3" t="str">
        <f>CONCATENATE(B65,B66)</f>
        <v xml:space="preserve">  &lt;/g&gt;&lt;/svg&gt;</v>
      </c>
      <c r="B65" s="2" t="s">
        <v>51</v>
      </c>
    </row>
    <row r="66" spans="1:2">
      <c r="B66" s="2" t="s">
        <v>52</v>
      </c>
    </row>
    <row r="67" spans="1:2"/>
    <row r="68" spans="1: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5</vt:i4>
      </vt:variant>
    </vt:vector>
  </HeadingPairs>
  <TitlesOfParts>
    <vt:vector size="8" baseType="lpstr">
      <vt:lpstr>rei</vt:lpstr>
      <vt:lpstr>peao</vt:lpstr>
      <vt:lpstr>xml</vt:lpstr>
      <vt:lpstr>_XMLbeg</vt:lpstr>
      <vt:lpstr>_XMLend</vt:lpstr>
      <vt:lpstr>tDEFS</vt:lpstr>
      <vt:lpstr>tMETA</vt:lpstr>
      <vt:lpstr>tSVG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Ольга Бледнова</cp:lastModifiedBy>
  <dcterms:created xsi:type="dcterms:W3CDTF">2020-05-03T10:28:22Z</dcterms:created>
  <dcterms:modified xsi:type="dcterms:W3CDTF">2020-05-31T17:34:05Z</dcterms:modified>
</cp:coreProperties>
</file>