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/>
  </bookViews>
  <sheets>
    <sheet name="box" sheetId="6" r:id="rId1"/>
  </sheets>
  <functionGroups/>
  <definedNames>
    <definedName name="_cX">#REF!</definedName>
    <definedName name="_cY">#REF!</definedName>
    <definedName name="_T00">#REF!</definedName>
    <definedName name="_T01">#REF!</definedName>
    <definedName name="_T02">#REF!</definedName>
    <definedName name="_T03">#REF!</definedName>
    <definedName name="_T11">#REF!</definedName>
    <definedName name="_T12">#REF!</definedName>
    <definedName name="_T13">#REF!</definedName>
    <definedName name="_T21">#REF!</definedName>
    <definedName name="_T22">#REF!</definedName>
    <definedName name="_T23">#REF!</definedName>
    <definedName name="_T31">#REF!</definedName>
    <definedName name="_T32">#REF!</definedName>
    <definedName name="_T33">#REF!</definedName>
    <definedName name="_vGR">#REF!</definedName>
    <definedName name="_vRD">#REF!</definedName>
    <definedName name="_XMLbeg">#REF!</definedName>
    <definedName name="_XMLend">#REF!</definedName>
    <definedName name="angl">box!$B$38</definedName>
    <definedName name="depth">box!$C$4</definedName>
    <definedName name="divid">box!$C$33</definedName>
    <definedName name="down">box!$D$3</definedName>
    <definedName name="gBox1">box!$D$22:$D$25</definedName>
    <definedName name="gBox2">box!$D$27:$D$30</definedName>
    <definedName name="gCircle">box!$D$4:$D$7</definedName>
    <definedName name="gGroove">box!$D$33:$D$36</definedName>
    <definedName name="gHoles">box!$D$9:$D$20</definedName>
    <definedName name="rholes">box!$C$9</definedName>
    <definedName name="rout">box!$C$2</definedName>
    <definedName name="tDEFS">#REF!</definedName>
    <definedName name="tMETA">#REF!</definedName>
    <definedName name="tSVG">#REF!</definedName>
    <definedName name="wdt">box!$C$32</definedName>
    <definedName name="width">box!$C$22</definedName>
  </definedNames>
  <calcPr calcId="125725"/>
</workbook>
</file>

<file path=xl/calcChain.xml><?xml version="1.0" encoding="utf-8"?>
<calcChain xmlns="http://schemas.openxmlformats.org/spreadsheetml/2006/main">
  <c r="B38" i="6"/>
  <c r="C40"/>
  <c r="C41" s="1"/>
  <c r="D5"/>
  <c r="D3"/>
  <c r="D19" s="1"/>
  <c r="B37"/>
  <c r="D35"/>
  <c r="D29"/>
  <c r="D24"/>
  <c r="D6"/>
  <c r="D18"/>
  <c r="D9"/>
  <c r="D15"/>
  <c r="D12"/>
  <c r="C9"/>
  <c r="B10"/>
  <c r="B9"/>
  <c r="C2"/>
  <c r="B32"/>
  <c r="C32" s="1"/>
  <c r="B33"/>
  <c r="C33"/>
  <c r="A9"/>
  <c r="C1"/>
  <c r="D16" l="1"/>
  <c r="D13"/>
  <c r="D28"/>
  <c r="D10"/>
  <c r="D23"/>
  <c r="D34"/>
  <c r="D41"/>
  <c r="B40"/>
  <c r="D33"/>
  <c r="C22"/>
  <c r="D2"/>
  <c r="E2" s="1"/>
  <c r="D42"/>
  <c r="C38" l="1"/>
  <c r="B42"/>
  <c r="B41"/>
  <c r="D40" s="1"/>
  <c r="D27"/>
  <c r="D22"/>
  <c r="D4"/>
</calcChain>
</file>

<file path=xl/sharedStrings.xml><?xml version="1.0" encoding="utf-8"?>
<sst xmlns="http://schemas.openxmlformats.org/spreadsheetml/2006/main" count="16" uniqueCount="9">
  <si>
    <t>G00 Z05.0</t>
  </si>
  <si>
    <t>d</t>
  </si>
  <si>
    <t>Dout</t>
  </si>
  <si>
    <t>Din</t>
  </si>
  <si>
    <t>depth</t>
  </si>
  <si>
    <t>angl</t>
  </si>
  <si>
    <t>start</t>
  </si>
  <si>
    <t>X</t>
  </si>
  <si>
    <t>Y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</si>
</sst>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i/>
      <sz val="11"/>
      <color rgb="FF00000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6"/>
  <dimension ref="A1:E59"/>
  <sheetViews>
    <sheetView tabSelected="1" topLeftCell="A28" zoomScaleNormal="100" workbookViewId="0">
      <selection activeCell="B39" sqref="B39"/>
    </sheetView>
  </sheetViews>
  <sheetFormatPr defaultRowHeight="15" zeroHeight="1"/>
  <cols>
    <col min="4" max="4" width="11.28515625" customWidth="1"/>
    <col min="5" max="5" width="2.85546875" customWidth="1"/>
  </cols>
  <sheetData>
    <row r="1" spans="1:5">
      <c r="A1" t="s">
        <v>1</v>
      </c>
      <c r="B1">
        <v>2</v>
      </c>
      <c r="C1">
        <f>B1/2</f>
        <v>1</v>
      </c>
    </row>
    <row r="2" spans="1:5">
      <c r="A2" t="s">
        <v>2</v>
      </c>
      <c r="B2">
        <v>44</v>
      </c>
      <c r="C2">
        <f>B3/2</f>
        <v>21</v>
      </c>
      <c r="D2">
        <f>C2-C1</f>
        <v>20</v>
      </c>
      <c r="E2" t="str">
        <f>SUBSTITUTE(D2,",",".")</f>
        <v>20</v>
      </c>
    </row>
    <row r="3" spans="1:5">
      <c r="A3" t="s">
        <v>3</v>
      </c>
      <c r="B3">
        <v>42</v>
      </c>
      <c r="D3" t="str">
        <f>"G01 Z-"&amp;depth&amp;" F50"</f>
        <v>G01 Z-6 F50</v>
      </c>
    </row>
    <row r="4" spans="1:5">
      <c r="A4" t="s">
        <v>4</v>
      </c>
      <c r="C4">
        <v>6</v>
      </c>
      <c r="D4" t="str">
        <f>"G00 X-"&amp;E2&amp;" Y0.00"</f>
        <v>G00 X-20 Y0.00</v>
      </c>
      <c r="E4" s="2"/>
    </row>
    <row r="5" spans="1:5">
      <c r="D5" t="str">
        <f>down</f>
        <v>G01 Z-6 F50</v>
      </c>
      <c r="E5" s="2"/>
    </row>
    <row r="6" spans="1:5">
      <c r="D6" t="str">
        <f>"G02 X-" &amp;E2&amp;" Y0.00 I"&amp;E2&amp;" J00.00 F150"</f>
        <v>G02 X-20 Y0.00 I20 J00.00 F150</v>
      </c>
      <c r="E6" s="2"/>
    </row>
    <row r="7" spans="1:5">
      <c r="D7" t="s">
        <v>0</v>
      </c>
      <c r="E7" s="2"/>
    </row>
    <row r="8" spans="1:5"/>
    <row r="9" spans="1:5">
      <c r="A9">
        <f>COS(RADIANS(45))</f>
        <v>0.70710678118654757</v>
      </c>
      <c r="B9">
        <f>C2+5</f>
        <v>26</v>
      </c>
      <c r="C9" t="str">
        <f>SUBSTITUTE(TEXT(C10,"0,00"),",",".")</f>
        <v>20.00</v>
      </c>
      <c r="D9" s="1" t="str">
        <f>"G00 X"&amp;rholes&amp;" Y22"</f>
        <v>G00 X20.00 Y22</v>
      </c>
      <c r="E9" s="2"/>
    </row>
    <row r="10" spans="1:5">
      <c r="B10">
        <f>A9*B9</f>
        <v>18.384776310850238</v>
      </c>
      <c r="C10">
        <v>20</v>
      </c>
      <c r="D10" s="1" t="str">
        <f>down</f>
        <v>G01 Z-6 F50</v>
      </c>
      <c r="E10" s="2"/>
    </row>
    <row r="11" spans="1:5">
      <c r="D11" s="1" t="s">
        <v>0</v>
      </c>
      <c r="E11" s="2"/>
    </row>
    <row r="12" spans="1:5">
      <c r="D12" t="str">
        <f>"G00 X"&amp;rholes&amp;" Y-22"</f>
        <v>G00 X20.00 Y-22</v>
      </c>
      <c r="E12" s="2"/>
    </row>
    <row r="13" spans="1:5">
      <c r="D13" t="str">
        <f>down</f>
        <v>G01 Z-6 F50</v>
      </c>
      <c r="E13" s="2"/>
    </row>
    <row r="14" spans="1:5">
      <c r="D14" t="s">
        <v>0</v>
      </c>
      <c r="E14" s="2"/>
    </row>
    <row r="15" spans="1:5">
      <c r="D15" s="1" t="str">
        <f>"G00 X-"&amp;rholes&amp;" Y-22"</f>
        <v>G00 X-20.00 Y-22</v>
      </c>
      <c r="E15" s="2"/>
    </row>
    <row r="16" spans="1:5">
      <c r="D16" s="1" t="str">
        <f>down</f>
        <v>G01 Z-6 F50</v>
      </c>
      <c r="E16" s="2"/>
    </row>
    <row r="17" spans="2:5">
      <c r="D17" s="1" t="s">
        <v>0</v>
      </c>
      <c r="E17" s="2"/>
    </row>
    <row r="18" spans="2:5">
      <c r="D18" t="str">
        <f>"G00 X-"&amp;rholes&amp;" Y22"</f>
        <v>G00 X-20.00 Y22</v>
      </c>
      <c r="E18" s="2"/>
    </row>
    <row r="19" spans="2:5">
      <c r="D19" t="str">
        <f>down</f>
        <v>G01 Z-6 F50</v>
      </c>
      <c r="E19" s="2"/>
    </row>
    <row r="20" spans="2:5">
      <c r="D20" t="s">
        <v>0</v>
      </c>
      <c r="E20" s="2"/>
    </row>
    <row r="21" spans="2:5"/>
    <row r="22" spans="2:5">
      <c r="B22">
        <v>30</v>
      </c>
      <c r="C22" t="str">
        <f>SUBSTITUTE(B22,",",".")</f>
        <v>30</v>
      </c>
      <c r="D22" t="str">
        <f>"G00 X"&amp;width&amp;" Y"&amp;width</f>
        <v>G00 X30 Y30</v>
      </c>
    </row>
    <row r="23" spans="2:5">
      <c r="D23" t="str">
        <f>down</f>
        <v>G01 Z-6 F50</v>
      </c>
    </row>
    <row r="24" spans="2:5">
      <c r="D24" t="str">
        <f>"G01 X"&amp;width&amp;" Y-"&amp;width &amp; " F150"</f>
        <v>G01 X30 Y-30 F150</v>
      </c>
    </row>
    <row r="25" spans="2:5">
      <c r="D25" t="s">
        <v>0</v>
      </c>
    </row>
    <row r="26" spans="2:5"/>
    <row r="27" spans="2:5">
      <c r="D27" t="str">
        <f>"G00 X-"&amp;width&amp;" Y-"&amp;width</f>
        <v>G00 X-30 Y-30</v>
      </c>
    </row>
    <row r="28" spans="2:5">
      <c r="D28" t="str">
        <f>down</f>
        <v>G01 Z-6 F50</v>
      </c>
    </row>
    <row r="29" spans="2:5">
      <c r="D29" t="str">
        <f>"G01 X-"&amp;width&amp;" Y"&amp;width &amp; " F150"</f>
        <v>G01 X-30 Y30 F150</v>
      </c>
    </row>
    <row r="30" spans="2:5">
      <c r="D30" t="s">
        <v>0</v>
      </c>
    </row>
    <row r="31" spans="2:5"/>
    <row r="32" spans="2:5">
      <c r="B32">
        <f>B22</f>
        <v>30</v>
      </c>
      <c r="C32" t="str">
        <f>SUBSTITUTE(B32,",",".")</f>
        <v>30</v>
      </c>
    </row>
    <row r="33" spans="1:5">
      <c r="B33">
        <f>2*C2/3</f>
        <v>14</v>
      </c>
      <c r="C33" t="str">
        <f>SUBSTITUTE(TEXT(B33,"0,00"),",",".")</f>
        <v>14.00</v>
      </c>
      <c r="D33" t="str">
        <f>"G00 X-"&amp;wdt&amp;" Y"&amp;divid</f>
        <v>G00 X-30 Y14.00</v>
      </c>
      <c r="E33" s="2"/>
    </row>
    <row r="34" spans="1:5">
      <c r="D34" t="str">
        <f>down</f>
        <v>G01 Z-6 F50</v>
      </c>
      <c r="E34" s="2"/>
    </row>
    <row r="35" spans="1:5">
      <c r="D35" t="str">
        <f>"G01 X25"&amp;" Y"&amp;divid&amp; " F150"</f>
        <v>G01 X25 Y14.00 F150</v>
      </c>
      <c r="E35" s="2"/>
    </row>
    <row r="36" spans="1:5">
      <c r="D36" t="s">
        <v>0</v>
      </c>
      <c r="E36" s="2"/>
    </row>
    <row r="37" spans="1:5">
      <c r="B37">
        <f>rout-C1</f>
        <v>20</v>
      </c>
    </row>
    <row r="38" spans="1:5">
      <c r="A38" t="s">
        <v>5</v>
      </c>
      <c r="B38">
        <f>RADIANS(6)</f>
        <v>0.10471975511965978</v>
      </c>
      <c r="C38">
        <f>2*B40</f>
        <v>4.1811385307061393</v>
      </c>
    </row>
    <row r="39" spans="1:5">
      <c r="B39" s="3" t="s">
        <v>7</v>
      </c>
      <c r="C39" s="3" t="s">
        <v>8</v>
      </c>
    </row>
    <row r="40" spans="1:5">
      <c r="A40" t="s">
        <v>6</v>
      </c>
      <c r="B40">
        <f>B37*SIN(angl)</f>
        <v>2.0905692653530696</v>
      </c>
      <c r="C40">
        <f>-B37*COS(angl)</f>
        <v>-19.890437907365467</v>
      </c>
      <c r="D40" t="str">
        <f>"G00 X-"&amp;B41&amp;" Y"&amp;C41</f>
        <v>G00 X-2.09 Y-19.89</v>
      </c>
    </row>
    <row r="41" spans="1:5">
      <c r="B41" t="str">
        <f>SUBSTITUTE(TEXT(B40,"0,00"),",",".")</f>
        <v>2.09</v>
      </c>
      <c r="C41" t="str">
        <f>SUBSTITUTE(TEXT(C40,"0,00"),",",".")</f>
        <v>-19.89</v>
      </c>
      <c r="D41" t="str">
        <f>down</f>
        <v>G01 Z-6 F50</v>
      </c>
    </row>
    <row r="42" spans="1:5" ht="22.5" customHeight="1">
      <c r="B42" t="str">
        <f>SUBSTITUTE(TEXT(-B40,"0,00"),",",".")</f>
        <v>-2.09</v>
      </c>
      <c r="D42" s="4" t="str">
        <f>ArcR(0, 0, -B40, C40, B40, C40,depth)</f>
        <v xml:space="preserve">G03 X2.09 Y-19.89 I2.09 J19.89 F10
</v>
      </c>
    </row>
    <row r="43" spans="1:5"/>
    <row r="44" spans="1:5"/>
    <row r="45" spans="1:5"/>
    <row r="46" spans="1:5"/>
    <row r="47" spans="1:5"/>
    <row r="48" spans="1:5"/>
    <row r="49"/>
    <row r="50"/>
    <row r="51"/>
    <row r="52"/>
    <row r="53"/>
    <row r="54"/>
    <row r="55"/>
    <row r="56"/>
    <row r="57"/>
    <row r="58"/>
    <row r="59"/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box</vt:lpstr>
      <vt:lpstr>angl</vt:lpstr>
      <vt:lpstr>depth</vt:lpstr>
      <vt:lpstr>divid</vt:lpstr>
      <vt:lpstr>down</vt:lpstr>
      <vt:lpstr>gBox1</vt:lpstr>
      <vt:lpstr>gBox2</vt:lpstr>
      <vt:lpstr>gCircle</vt:lpstr>
      <vt:lpstr>gGroove</vt:lpstr>
      <vt:lpstr>gHoles</vt:lpstr>
      <vt:lpstr>rholes</vt:lpstr>
      <vt:lpstr>rout</vt:lpstr>
      <vt:lpstr>wdt</vt:lpstr>
      <vt:lpstr>width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2020-06-25T14:02:13Z</dcterms:modified>
</cp:coreProperties>
</file>